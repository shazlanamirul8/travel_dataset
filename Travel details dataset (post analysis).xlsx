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hidePivotFieldList="1"/>
  <mc:AlternateContent xmlns:mc="http://schemas.openxmlformats.org/markup-compatibility/2006">
    <mc:Choice Requires="x15">
      <x15ac:absPath xmlns:x15ac="http://schemas.microsoft.com/office/spreadsheetml/2010/11/ac" url="C:\Users\Admin\Desktop\"/>
    </mc:Choice>
  </mc:AlternateContent>
  <xr:revisionPtr revIDLastSave="0" documentId="8_{406AB298-C762-4311-95F6-1925131AE3C1}" xr6:coauthVersionLast="47" xr6:coauthVersionMax="47" xr10:uidLastSave="{00000000-0000-0000-0000-000000000000}"/>
  <bookViews>
    <workbookView xWindow="-110" yWindow="-110" windowWidth="19420" windowHeight="11500" activeTab="1" xr2:uid="{00000000-000D-0000-FFFF-FFFF00000000}"/>
  </bookViews>
  <sheets>
    <sheet name="Travel details dataset (post an" sheetId="1" r:id="rId1"/>
    <sheet name="Dashboard" sheetId="3" r:id="rId2"/>
    <sheet name="Working Table" sheetId="2" state="hidden" r:id="rId3"/>
  </sheets>
  <definedNames>
    <definedName name="_xlnm._FilterDatabase" localSheetId="0" hidden="1">'Travel details dataset (post an'!$A$1:$O$140</definedName>
  </definedNames>
  <calcPr calcId="191029"/>
  <pivotCaches>
    <pivotCache cacheId="0" r:id="rId4"/>
    <pivotCache cacheId="1" r:id="rId5"/>
    <pivotCache cacheId="2" r:id="rId6"/>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2" i="1"/>
  <c r="O135" i="1"/>
  <c r="O117" i="1"/>
  <c r="O118" i="1"/>
  <c r="O119" i="1"/>
  <c r="O120" i="1"/>
  <c r="O121" i="1"/>
  <c r="O122" i="1"/>
  <c r="O123" i="1"/>
  <c r="O124" i="1"/>
  <c r="O125" i="1"/>
  <c r="O126" i="1"/>
  <c r="O127" i="1"/>
  <c r="O128" i="1"/>
  <c r="O129" i="1"/>
  <c r="O130" i="1"/>
  <c r="O131" i="1"/>
  <c r="O132" i="1"/>
  <c r="O133" i="1"/>
  <c r="O134" i="1"/>
  <c r="O136" i="1"/>
  <c r="O137" i="1"/>
  <c r="O138" i="1"/>
  <c r="O139" i="1"/>
  <c r="O140" i="1"/>
  <c r="O116"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2"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8">
    <bk>
      <extLst>
        <ext uri="{3e2802c4-a4d2-4d8b-9148-e3be6c30e623}">
          <xlrd:rvb i="0"/>
        </ext>
      </extLst>
    </bk>
    <bk>
      <extLst>
        <ext uri="{3e2802c4-a4d2-4d8b-9148-e3be6c30e623}">
          <xlrd:rvb i="26"/>
        </ext>
      </extLst>
    </bk>
    <bk>
      <extLst>
        <ext uri="{3e2802c4-a4d2-4d8b-9148-e3be6c30e623}">
          <xlrd:rvb i="167"/>
        </ext>
      </extLst>
    </bk>
    <bk>
      <extLst>
        <ext uri="{3e2802c4-a4d2-4d8b-9148-e3be6c30e623}">
          <xlrd:rvb i="189"/>
        </ext>
      </extLst>
    </bk>
    <bk>
      <extLst>
        <ext uri="{3e2802c4-a4d2-4d8b-9148-e3be6c30e623}">
          <xlrd:rvb i="202"/>
        </ext>
      </extLst>
    </bk>
    <bk>
      <extLst>
        <ext uri="{3e2802c4-a4d2-4d8b-9148-e3be6c30e623}">
          <xlrd:rvb i="302"/>
        </ext>
      </extLst>
    </bk>
    <bk>
      <extLst>
        <ext uri="{3e2802c4-a4d2-4d8b-9148-e3be6c30e623}">
          <xlrd:rvb i="385"/>
        </ext>
      </extLst>
    </bk>
    <bk>
      <extLst>
        <ext uri="{3e2802c4-a4d2-4d8b-9148-e3be6c30e623}">
          <xlrd:rvb i="462"/>
        </ext>
      </extLst>
    </bk>
    <bk>
      <extLst>
        <ext uri="{3e2802c4-a4d2-4d8b-9148-e3be6c30e623}">
          <xlrd:rvb i="556"/>
        </ext>
      </extLst>
    </bk>
    <bk>
      <extLst>
        <ext uri="{3e2802c4-a4d2-4d8b-9148-e3be6c30e623}">
          <xlrd:rvb i="570"/>
        </ext>
      </extLst>
    </bk>
    <bk>
      <extLst>
        <ext uri="{3e2802c4-a4d2-4d8b-9148-e3be6c30e623}">
          <xlrd:rvb i="579"/>
        </ext>
      </extLst>
    </bk>
    <bk>
      <extLst>
        <ext uri="{3e2802c4-a4d2-4d8b-9148-e3be6c30e623}">
          <xlrd:rvb i="678"/>
        </ext>
      </extLst>
    </bk>
    <bk>
      <extLst>
        <ext uri="{3e2802c4-a4d2-4d8b-9148-e3be6c30e623}">
          <xlrd:rvb i="761"/>
        </ext>
      </extLst>
    </bk>
    <bk>
      <extLst>
        <ext uri="{3e2802c4-a4d2-4d8b-9148-e3be6c30e623}">
          <xlrd:rvb i="807"/>
        </ext>
      </extLst>
    </bk>
    <bk>
      <extLst>
        <ext uri="{3e2802c4-a4d2-4d8b-9148-e3be6c30e623}">
          <xlrd:rvb i="820"/>
        </ext>
      </extLst>
    </bk>
    <bk>
      <extLst>
        <ext uri="{3e2802c4-a4d2-4d8b-9148-e3be6c30e623}">
          <xlrd:rvb i="833"/>
        </ext>
      </extLst>
    </bk>
    <bk>
      <extLst>
        <ext uri="{3e2802c4-a4d2-4d8b-9148-e3be6c30e623}">
          <xlrd:rvb i="844"/>
        </ext>
      </extLst>
    </bk>
    <bk>
      <extLst>
        <ext uri="{3e2802c4-a4d2-4d8b-9148-e3be6c30e623}">
          <xlrd:rvb i="44"/>
        </ext>
      </extLst>
    </bk>
    <bk>
      <extLst>
        <ext uri="{3e2802c4-a4d2-4d8b-9148-e3be6c30e623}">
          <xlrd:rvb i="762"/>
        </ext>
      </extLst>
    </bk>
    <bk>
      <extLst>
        <ext uri="{3e2802c4-a4d2-4d8b-9148-e3be6c30e623}">
          <xlrd:rvb i="205"/>
        </ext>
      </extLst>
    </bk>
    <bk>
      <extLst>
        <ext uri="{3e2802c4-a4d2-4d8b-9148-e3be6c30e623}">
          <xlrd:rvb i="29"/>
        </ext>
      </extLst>
    </bk>
    <bk>
      <extLst>
        <ext uri="{3e2802c4-a4d2-4d8b-9148-e3be6c30e623}">
          <xlrd:rvb i="306"/>
        </ext>
      </extLst>
    </bk>
    <bk>
      <extLst>
        <ext uri="{3e2802c4-a4d2-4d8b-9148-e3be6c30e623}">
          <xlrd:rvb i="388"/>
        </ext>
      </extLst>
    </bk>
    <bk>
      <extLst>
        <ext uri="{3e2802c4-a4d2-4d8b-9148-e3be6c30e623}">
          <xlrd:rvb i="465"/>
        </ext>
      </extLst>
    </bk>
    <bk>
      <extLst>
        <ext uri="{3e2802c4-a4d2-4d8b-9148-e3be6c30e623}">
          <xlrd:rvb i="914"/>
        </ext>
      </extLst>
    </bk>
    <bk>
      <extLst>
        <ext uri="{3e2802c4-a4d2-4d8b-9148-e3be6c30e623}">
          <xlrd:rvb i="981"/>
        </ext>
      </extLst>
    </bk>
    <bk>
      <extLst>
        <ext uri="{3e2802c4-a4d2-4d8b-9148-e3be6c30e623}">
          <xlrd:rvb i="582"/>
        </ext>
      </extLst>
    </bk>
    <bk>
      <extLst>
        <ext uri="{3e2802c4-a4d2-4d8b-9148-e3be6c30e623}">
          <xlrd:rvb i="848"/>
        </ext>
      </extLst>
    </bk>
    <bk>
      <extLst>
        <ext uri="{3e2802c4-a4d2-4d8b-9148-e3be6c30e623}">
          <xlrd:rvb i="681"/>
        </ext>
      </extLst>
    </bk>
    <bk>
      <extLst>
        <ext uri="{3e2802c4-a4d2-4d8b-9148-e3be6c30e623}">
          <xlrd:rvb i="1061"/>
        </ext>
      </extLst>
    </bk>
    <bk>
      <extLst>
        <ext uri="{3e2802c4-a4d2-4d8b-9148-e3be6c30e623}">
          <xlrd:rvb i="1129"/>
        </ext>
      </extLst>
    </bk>
    <bk>
      <extLst>
        <ext uri="{3e2802c4-a4d2-4d8b-9148-e3be6c30e623}">
          <xlrd:rvb i="1140"/>
        </ext>
      </extLst>
    </bk>
    <bk>
      <extLst>
        <ext uri="{3e2802c4-a4d2-4d8b-9148-e3be6c30e623}">
          <xlrd:rvb i="1161"/>
        </ext>
      </extLst>
    </bk>
    <bk>
      <extLst>
        <ext uri="{3e2802c4-a4d2-4d8b-9148-e3be6c30e623}">
          <xlrd:rvb i="1175"/>
        </ext>
      </extLst>
    </bk>
    <bk>
      <extLst>
        <ext uri="{3e2802c4-a4d2-4d8b-9148-e3be6c30e623}">
          <xlrd:rvb i="1189"/>
        </ext>
      </extLst>
    </bk>
    <bk>
      <extLst>
        <ext uri="{3e2802c4-a4d2-4d8b-9148-e3be6c30e623}">
          <xlrd:rvb i="1199"/>
        </ext>
      </extLst>
    </bk>
    <bk>
      <extLst>
        <ext uri="{3e2802c4-a4d2-4d8b-9148-e3be6c30e623}">
          <xlrd:rvb i="920"/>
        </ext>
      </extLst>
    </bk>
    <bk>
      <extLst>
        <ext uri="{3e2802c4-a4d2-4d8b-9148-e3be6c30e623}">
          <xlrd:rvb i="1208"/>
        </ext>
      </extLst>
    </bk>
  </futureMetadata>
  <valueMetadata count="3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valueMetadata>
</metadata>
</file>

<file path=xl/sharedStrings.xml><?xml version="1.0" encoding="utf-8"?>
<sst xmlns="http://schemas.openxmlformats.org/spreadsheetml/2006/main" count="933" uniqueCount="234">
  <si>
    <t>Trip ID</t>
  </si>
  <si>
    <t>Destination</t>
  </si>
  <si>
    <t>Start date</t>
  </si>
  <si>
    <t>End date</t>
  </si>
  <si>
    <t>Duration (days)</t>
  </si>
  <si>
    <t>Traveler name</t>
  </si>
  <si>
    <t>Traveler age</t>
  </si>
  <si>
    <t>Traveler gender</t>
  </si>
  <si>
    <t>Traveler nationality</t>
  </si>
  <si>
    <t>Accommodation type</t>
  </si>
  <si>
    <t>Accommodation cost</t>
  </si>
  <si>
    <t>Transportation type</t>
  </si>
  <si>
    <t>Transportation cost</t>
  </si>
  <si>
    <t>John Smith</t>
  </si>
  <si>
    <t>Male</t>
  </si>
  <si>
    <t>American</t>
  </si>
  <si>
    <t>Hotel</t>
  </si>
  <si>
    <t>Flight</t>
  </si>
  <si>
    <t>Jane Doe</t>
  </si>
  <si>
    <t>Female</t>
  </si>
  <si>
    <t>Canadian</t>
  </si>
  <si>
    <t>Resort</t>
  </si>
  <si>
    <t>David Lee</t>
  </si>
  <si>
    <t>Korean</t>
  </si>
  <si>
    <t>Villa</t>
  </si>
  <si>
    <t>Sarah Johnson</t>
  </si>
  <si>
    <t>British</t>
  </si>
  <si>
    <t>Kim Nguyen</t>
  </si>
  <si>
    <t>Vietnamese</t>
  </si>
  <si>
    <t>Airbnb</t>
  </si>
  <si>
    <t>Train</t>
  </si>
  <si>
    <t>Michael Brown</t>
  </si>
  <si>
    <t>Emily Davis</t>
  </si>
  <si>
    <t>Australian</t>
  </si>
  <si>
    <t>Hostel</t>
  </si>
  <si>
    <t>Lucas Santos</t>
  </si>
  <si>
    <t>Brazilian</t>
  </si>
  <si>
    <t>Laura Janssen</t>
  </si>
  <si>
    <t>Dutch</t>
  </si>
  <si>
    <t>Mohammed Ali</t>
  </si>
  <si>
    <t>Emirati</t>
  </si>
  <si>
    <t>Ana Hernandez</t>
  </si>
  <si>
    <t>Mexican</t>
  </si>
  <si>
    <t>Carlos Garcia</t>
  </si>
  <si>
    <t>Spanish</t>
  </si>
  <si>
    <t>Lily Wong</t>
  </si>
  <si>
    <t>Chinese</t>
  </si>
  <si>
    <t>Hans Mueller</t>
  </si>
  <si>
    <t>German</t>
  </si>
  <si>
    <t>Fatima Khouri</t>
  </si>
  <si>
    <t>Moroccan</t>
  </si>
  <si>
    <t>Riad</t>
  </si>
  <si>
    <t>James MacKenzie</t>
  </si>
  <si>
    <t>Scottish</t>
  </si>
  <si>
    <t>Paris</t>
  </si>
  <si>
    <t>Bali</t>
  </si>
  <si>
    <t>Michael Chang</t>
  </si>
  <si>
    <t>Olivia Rodriguez</t>
  </si>
  <si>
    <t>Tokyo</t>
  </si>
  <si>
    <t>Kenji Nakamura</t>
  </si>
  <si>
    <t>Japanese</t>
  </si>
  <si>
    <t>Emily Lee</t>
  </si>
  <si>
    <t>Bus</t>
  </si>
  <si>
    <t>Sydney</t>
  </si>
  <si>
    <t>James Wilson</t>
  </si>
  <si>
    <t>Sofia Russo</t>
  </si>
  <si>
    <t>Italian</t>
  </si>
  <si>
    <t>Raj Patel</t>
  </si>
  <si>
    <t>Indian</t>
  </si>
  <si>
    <t>Lily Nguyen</t>
  </si>
  <si>
    <t>David Kim</t>
  </si>
  <si>
    <t>Maria Garcia</t>
  </si>
  <si>
    <t>Japan</t>
  </si>
  <si>
    <t>Alice Smith</t>
  </si>
  <si>
    <t>Bob Johnson</t>
  </si>
  <si>
    <t>Charlie Lee</t>
  </si>
  <si>
    <t>Emma Davis</t>
  </si>
  <si>
    <t>Brazil</t>
  </si>
  <si>
    <t>Olivia Martin</t>
  </si>
  <si>
    <t>Greece</t>
  </si>
  <si>
    <t>Harry Wilson</t>
  </si>
  <si>
    <t>Sophia Lee</t>
  </si>
  <si>
    <t>James Brown</t>
  </si>
  <si>
    <t>Italy</t>
  </si>
  <si>
    <t>Mia Johnson</t>
  </si>
  <si>
    <t>Spain</t>
  </si>
  <si>
    <t>William Davis</t>
  </si>
  <si>
    <t>Canada</t>
  </si>
  <si>
    <t>Amelia Brown</t>
  </si>
  <si>
    <t>Adam Lee</t>
  </si>
  <si>
    <t>Sarah Wong</t>
  </si>
  <si>
    <t>Maria Silva</t>
  </si>
  <si>
    <t>Peter Brown</t>
  </si>
  <si>
    <t>Emma Garcia</t>
  </si>
  <si>
    <t>Michael Davis</t>
  </si>
  <si>
    <t>Nina Patel</t>
  </si>
  <si>
    <t>Kevin Kim</t>
  </si>
  <si>
    <t>Laura van den Berg</t>
  </si>
  <si>
    <t>Jennifer Nguyen</t>
  </si>
  <si>
    <t>Rachel Lee</t>
  </si>
  <si>
    <t>South Korean</t>
  </si>
  <si>
    <t>Jessica Wong</t>
  </si>
  <si>
    <t>Felipe Almeida</t>
  </si>
  <si>
    <t>Nisa Patel</t>
  </si>
  <si>
    <t>Ben Smith</t>
  </si>
  <si>
    <t>Laura Gomez</t>
  </si>
  <si>
    <t>Park Min Woo</t>
  </si>
  <si>
    <t>Subway</t>
  </si>
  <si>
    <t>Michael Chen</t>
  </si>
  <si>
    <t>Sofia Rossi</t>
  </si>
  <si>
    <t>Rachel Sanders</t>
  </si>
  <si>
    <t>Emily Watson</t>
  </si>
  <si>
    <t>Vacation rental</t>
  </si>
  <si>
    <t>Ana Rodriguez</t>
  </si>
  <si>
    <t>Tom Wilson</t>
  </si>
  <si>
    <t>Olivia Green</t>
  </si>
  <si>
    <t>French</t>
  </si>
  <si>
    <t>James Chen</t>
  </si>
  <si>
    <t>Lila Patel</t>
  </si>
  <si>
    <t>Marco Rossi</t>
  </si>
  <si>
    <t>Sarah Brown</t>
  </si>
  <si>
    <t>Sarah Lee</t>
  </si>
  <si>
    <t>Alex Kim</t>
  </si>
  <si>
    <t>Maria Hernandez</t>
  </si>
  <si>
    <t>Mark Johnson</t>
  </si>
  <si>
    <t>South African</t>
  </si>
  <si>
    <t>Guesthouse</t>
  </si>
  <si>
    <t>Car</t>
  </si>
  <si>
    <t>Amanda Chen</t>
  </si>
  <si>
    <t>Taiwanese</t>
  </si>
  <si>
    <t>Nana Kwon</t>
  </si>
  <si>
    <t>Tom Hanks</t>
  </si>
  <si>
    <t>Emma Watson</t>
  </si>
  <si>
    <t>James Kim</t>
  </si>
  <si>
    <t>Fatima Ahmed</t>
  </si>
  <si>
    <t>Liam Nguyen</t>
  </si>
  <si>
    <t>Giulia Rossi</t>
  </si>
  <si>
    <t>Putra Wijaya</t>
  </si>
  <si>
    <t>Indonesian</t>
  </si>
  <si>
    <t>Kim Min-ji</t>
  </si>
  <si>
    <t>USA</t>
  </si>
  <si>
    <t>Emily Johnson</t>
  </si>
  <si>
    <t>South Korea</t>
  </si>
  <si>
    <t>UK</t>
  </si>
  <si>
    <t>Michael Wong</t>
  </si>
  <si>
    <t>China</t>
  </si>
  <si>
    <t>Jessica Chen</t>
  </si>
  <si>
    <t>Taiwan</t>
  </si>
  <si>
    <t>Ken Tanaka</t>
  </si>
  <si>
    <t>Rodrigo Oliveira</t>
  </si>
  <si>
    <t>Olivia Kim</t>
  </si>
  <si>
    <t>Robert Mueller</t>
  </si>
  <si>
    <t>Germany</t>
  </si>
  <si>
    <t>Hong Kong</t>
  </si>
  <si>
    <t>Lisa Chen</t>
  </si>
  <si>
    <t>Emily Wong</t>
  </si>
  <si>
    <t>United Kingdom</t>
  </si>
  <si>
    <t>Mark Tan</t>
  </si>
  <si>
    <t>Singapore</t>
  </si>
  <si>
    <t>Emma Lee</t>
  </si>
  <si>
    <t>George Chen</t>
  </si>
  <si>
    <t>Ferry</t>
  </si>
  <si>
    <t>Sophia Kim</t>
  </si>
  <si>
    <t>United Arab Emirates</t>
  </si>
  <si>
    <t>Alex Ng</t>
  </si>
  <si>
    <t>Cambodia</t>
  </si>
  <si>
    <t>Cindy Chen</t>
  </si>
  <si>
    <t>Emily Kim</t>
  </si>
  <si>
    <t>Frank Li</t>
  </si>
  <si>
    <t>Gina Lee</t>
  </si>
  <si>
    <t>Henry Kim</t>
  </si>
  <si>
    <t>Isabella Chen</t>
  </si>
  <si>
    <t>Jack Smith</t>
  </si>
  <si>
    <t>Katie Johnson</t>
  </si>
  <si>
    <t>John Doe</t>
  </si>
  <si>
    <t>Jane Smith</t>
  </si>
  <si>
    <t>Michael Johnson</t>
  </si>
  <si>
    <t>Jose Perez</t>
  </si>
  <si>
    <t>Emma Wilson</t>
  </si>
  <si>
    <t>Ryan Chen</t>
  </si>
  <si>
    <t>Sofia Rodriguez</t>
  </si>
  <si>
    <t>William Brown</t>
  </si>
  <si>
    <t>New Zealander</t>
  </si>
  <si>
    <t>N/A</t>
  </si>
  <si>
    <t>Row Labels</t>
  </si>
  <si>
    <t>Grand Total</t>
  </si>
  <si>
    <t>Column Labels</t>
  </si>
  <si>
    <t>Count of Trip ID</t>
  </si>
  <si>
    <t>Average of Duration (days)</t>
  </si>
  <si>
    <t>Average of Accommodation cost</t>
  </si>
  <si>
    <t>Average of Transportation cost</t>
  </si>
  <si>
    <t>Count of Destination</t>
  </si>
  <si>
    <t>most common trips</t>
  </si>
  <si>
    <t>Count of Transportation type</t>
  </si>
  <si>
    <t>Count of Traveler gender</t>
  </si>
  <si>
    <t>Traveler Age Group</t>
  </si>
  <si>
    <t>30-40</t>
  </si>
  <si>
    <t>Over 40</t>
  </si>
  <si>
    <t>Under 30</t>
  </si>
  <si>
    <t>Count of Traveler Age Group</t>
  </si>
  <si>
    <t>Age group</t>
  </si>
  <si>
    <t>Male Total</t>
  </si>
  <si>
    <t>Female Total</t>
  </si>
  <si>
    <t>Total Cost</t>
  </si>
  <si>
    <t>(blank)</t>
  </si>
  <si>
    <t>Amsterdam</t>
  </si>
  <si>
    <t>Athens</t>
  </si>
  <si>
    <t>Auckland</t>
  </si>
  <si>
    <t>Australia</t>
  </si>
  <si>
    <t>Bangkok</t>
  </si>
  <si>
    <t>Barcelona</t>
  </si>
  <si>
    <t>Berlin</t>
  </si>
  <si>
    <t>Cancún</t>
  </si>
  <si>
    <t>Cape Town</t>
  </si>
  <si>
    <t>Dubai</t>
  </si>
  <si>
    <t>Edinburgh</t>
  </si>
  <si>
    <t>Egypt</t>
  </si>
  <si>
    <t>France</t>
  </si>
  <si>
    <t>Hawaii</t>
  </si>
  <si>
    <t>Honolulu</t>
  </si>
  <si>
    <t>London</t>
  </si>
  <si>
    <t>Los Angeles</t>
  </si>
  <si>
    <t>Marrakesh</t>
  </si>
  <si>
    <t>Mexico</t>
  </si>
  <si>
    <t>New York City</t>
  </si>
  <si>
    <t>Phnom Penh</t>
  </si>
  <si>
    <t>Phuket</t>
  </si>
  <si>
    <t>Rio de Janeiro</t>
  </si>
  <si>
    <t>Rome</t>
  </si>
  <si>
    <t>Santorini</t>
  </si>
  <si>
    <t>Seoul</t>
  </si>
  <si>
    <t>Thailand</t>
  </si>
  <si>
    <t>Vancouver</t>
  </si>
  <si>
    <t>Sum of Total Cost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</si>
</sst>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tint="-0.14999847407452621"/>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1" fontId="0" fillId="0" borderId="0" xfId="0" applyNumberFormat="1"/>
    <xf numFmtId="0" fontId="16" fillId="33" borderId="10" xfId="0" applyFont="1" applyFill="1" applyBorder="1"/>
    <xf numFmtId="0" fontId="0" fillId="34" borderId="12" xfId="0" applyFill="1" applyBorder="1" applyAlignment="1">
      <alignment horizontal="center"/>
    </xf>
    <xf numFmtId="0" fontId="0" fillId="34" borderId="11" xfId="0" applyFill="1" applyBorder="1" applyAlignment="1">
      <alignment horizontal="center"/>
    </xf>
    <xf numFmtId="0" fontId="0" fillId="34" borderId="13" xfId="0"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164" formatCode="&quot;$&quot;#,##0.00"/>
    </dxf>
    <dxf>
      <numFmt numFmtId="164" formatCode="&quot;$&quot;#,##0.00"/>
    </dxf>
    <dxf>
      <numFmt numFmtId="164" formatCode="&quot;$&quot;#,##0.00"/>
    </dxf>
    <dxf>
      <numFmt numFmtId="1" formatCode="0"/>
    </dxf>
    <dxf>
      <numFmt numFmtId="164" formatCode="&quot;$&quot;#,##0.00"/>
    </dxf>
    <dxf>
      <numFmt numFmtId="164" formatCode="&quot;$&quot;#,##0.00"/>
    </dxf>
    <dxf>
      <numFmt numFmtId="164" formatCode="&quot;$&quot;#,##0.00"/>
    </dxf>
    <dxf>
      <numFmt numFmtId="164" formatCode="&quot;$&quot;#,##0.00"/>
    </dxf>
  </dxfs>
  <tableStyles count="0" defaultTableStyle="TableStyleMedium2" defaultPivotStyle="PivotStyleLight16"/>
  <colors>
    <mruColors>
      <color rgb="FFB17E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20/07/relationships/rdRichValueWebImage" Target="richData/rdRichValueWebImage.xml"/><Relationship Id="rId5" Type="http://schemas.openxmlformats.org/officeDocument/2006/relationships/pivotCacheDefinition" Target="pivotCache/pivotCacheDefinition2.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microsoft.com/office/2017/06/relationships/rdArray" Target="richData/rdarray.xml"/><Relationship Id="rId22"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 details dataset (post analysis).xlsx]Working Table!PivotTable15</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Destination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Table'!$B$23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Table'!$A$24:$A$29</c:f>
              <c:strCache>
                <c:ptCount val="5"/>
                <c:pt idx="0">
                  <c:v>Paris</c:v>
                </c:pt>
                <c:pt idx="1">
                  <c:v>Sydney</c:v>
                </c:pt>
                <c:pt idx="2">
                  <c:v>Bali</c:v>
                </c:pt>
                <c:pt idx="3">
                  <c:v>Tokyo</c:v>
                </c:pt>
                <c:pt idx="4">
                  <c:v>New York City</c:v>
                </c:pt>
              </c:strCache>
            </c:strRef>
          </c:cat>
          <c:val>
            <c:numRef>
              <c:f>'Working Table'!$B$24:$B$29</c:f>
              <c:numCache>
                <c:formatCode>General</c:formatCode>
                <c:ptCount val="5"/>
                <c:pt idx="0">
                  <c:v>14</c:v>
                </c:pt>
                <c:pt idx="1">
                  <c:v>12</c:v>
                </c:pt>
                <c:pt idx="2">
                  <c:v>12</c:v>
                </c:pt>
                <c:pt idx="3">
                  <c:v>12</c:v>
                </c:pt>
                <c:pt idx="4">
                  <c:v>10</c:v>
                </c:pt>
              </c:numCache>
            </c:numRef>
          </c:val>
          <c:extLst>
            <c:ext xmlns:c16="http://schemas.microsoft.com/office/drawing/2014/chart" uri="{C3380CC4-5D6E-409C-BE32-E72D297353CC}">
              <c16:uniqueId val="{00000000-E19E-4CF5-950B-C050B0D7D53C}"/>
            </c:ext>
          </c:extLst>
        </c:ser>
        <c:dLbls>
          <c:dLblPos val="outEnd"/>
          <c:showLegendKey val="0"/>
          <c:showVal val="1"/>
          <c:showCatName val="0"/>
          <c:showSerName val="0"/>
          <c:showPercent val="0"/>
          <c:showBubbleSize val="0"/>
        </c:dLbls>
        <c:gapWidth val="444"/>
        <c:overlap val="-90"/>
        <c:axId val="1130184448"/>
        <c:axId val="1557330368"/>
      </c:barChart>
      <c:catAx>
        <c:axId val="113018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7330368"/>
        <c:crosses val="autoZero"/>
        <c:auto val="1"/>
        <c:lblAlgn val="ctr"/>
        <c:lblOffset val="100"/>
        <c:noMultiLvlLbl val="0"/>
      </c:catAx>
      <c:valAx>
        <c:axId val="1557330368"/>
        <c:scaling>
          <c:orientation val="minMax"/>
        </c:scaling>
        <c:delete val="1"/>
        <c:axPos val="l"/>
        <c:numFmt formatCode="General" sourceLinked="1"/>
        <c:majorTickMark val="none"/>
        <c:minorTickMark val="none"/>
        <c:tickLblPos val="nextTo"/>
        <c:crossAx val="11301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 details dataset (post analysis).xlsx]Working Table!PivotTable3</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Most Common Transportation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Table'!$B$32</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Table'!$A$33:$A$39</c:f>
              <c:strCache>
                <c:ptCount val="6"/>
                <c:pt idx="0">
                  <c:v>Flight</c:v>
                </c:pt>
                <c:pt idx="1">
                  <c:v>Train</c:v>
                </c:pt>
                <c:pt idx="2">
                  <c:v>Car</c:v>
                </c:pt>
                <c:pt idx="3">
                  <c:v>Bus</c:v>
                </c:pt>
                <c:pt idx="4">
                  <c:v>Subway</c:v>
                </c:pt>
                <c:pt idx="5">
                  <c:v>Ferry</c:v>
                </c:pt>
              </c:strCache>
            </c:strRef>
          </c:cat>
          <c:val>
            <c:numRef>
              <c:f>'Working Table'!$B$33:$B$39</c:f>
              <c:numCache>
                <c:formatCode>General</c:formatCode>
                <c:ptCount val="6"/>
                <c:pt idx="0">
                  <c:v>75</c:v>
                </c:pt>
                <c:pt idx="1">
                  <c:v>37</c:v>
                </c:pt>
                <c:pt idx="2">
                  <c:v>16</c:v>
                </c:pt>
                <c:pt idx="3">
                  <c:v>6</c:v>
                </c:pt>
                <c:pt idx="4">
                  <c:v>1</c:v>
                </c:pt>
                <c:pt idx="5">
                  <c:v>1</c:v>
                </c:pt>
              </c:numCache>
            </c:numRef>
          </c:val>
          <c:extLst>
            <c:ext xmlns:c16="http://schemas.microsoft.com/office/drawing/2014/chart" uri="{C3380CC4-5D6E-409C-BE32-E72D297353CC}">
              <c16:uniqueId val="{00000000-0FB1-4D2B-86DA-5E3D0921EA94}"/>
            </c:ext>
          </c:extLst>
        </c:ser>
        <c:dLbls>
          <c:dLblPos val="outEnd"/>
          <c:showLegendKey val="0"/>
          <c:showVal val="1"/>
          <c:showCatName val="0"/>
          <c:showSerName val="0"/>
          <c:showPercent val="0"/>
          <c:showBubbleSize val="0"/>
        </c:dLbls>
        <c:gapWidth val="444"/>
        <c:overlap val="-90"/>
        <c:axId val="661612639"/>
        <c:axId val="761026959"/>
      </c:barChart>
      <c:catAx>
        <c:axId val="66161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1026959"/>
        <c:crosses val="autoZero"/>
        <c:auto val="1"/>
        <c:lblAlgn val="ctr"/>
        <c:lblOffset val="100"/>
        <c:noMultiLvlLbl val="0"/>
      </c:catAx>
      <c:valAx>
        <c:axId val="761026959"/>
        <c:scaling>
          <c:orientation val="minMax"/>
        </c:scaling>
        <c:delete val="1"/>
        <c:axPos val="l"/>
        <c:numFmt formatCode="General" sourceLinked="1"/>
        <c:majorTickMark val="none"/>
        <c:minorTickMark val="none"/>
        <c:tickLblPos val="nextTo"/>
        <c:crossAx val="66161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Table!PivotTable27</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Table'!$B$74:$B$75</c:f>
              <c:strCache>
                <c:ptCount val="1"/>
                <c:pt idx="0">
                  <c:v>30-40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Table'!$B$76:$B$81</c:f>
              <c:numCache>
                <c:formatCode>General</c:formatCode>
                <c:ptCount val="5"/>
                <c:pt idx="0">
                  <c:v>3</c:v>
                </c:pt>
                <c:pt idx="1">
                  <c:v>2</c:v>
                </c:pt>
                <c:pt idx="2">
                  <c:v>1</c:v>
                </c:pt>
                <c:pt idx="3">
                  <c:v>1</c:v>
                </c:pt>
              </c:numCache>
            </c:numRef>
          </c:val>
          <c:extLst>
            <c:ext xmlns:c16="http://schemas.microsoft.com/office/drawing/2014/chart" uri="{C3380CC4-5D6E-409C-BE32-E72D297353CC}">
              <c16:uniqueId val="{00000000-A3CA-4020-AD3C-8D4E7A8EB1C9}"/>
            </c:ext>
          </c:extLst>
        </c:ser>
        <c:ser>
          <c:idx val="1"/>
          <c:order val="1"/>
          <c:tx>
            <c:strRef>
              <c:f>'Working Table'!$C$74:$C$75</c:f>
              <c:strCache>
                <c:ptCount val="1"/>
                <c:pt idx="0">
                  <c:v>Over 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Table'!$C$76:$C$81</c:f>
              <c:numCache>
                <c:formatCode>General</c:formatCode>
                <c:ptCount val="5"/>
                <c:pt idx="0">
                  <c:v>1</c:v>
                </c:pt>
                <c:pt idx="1">
                  <c:v>1</c:v>
                </c:pt>
              </c:numCache>
            </c:numRef>
          </c:val>
          <c:extLst>
            <c:ext xmlns:c16="http://schemas.microsoft.com/office/drawing/2014/chart" uri="{C3380CC4-5D6E-409C-BE32-E72D297353CC}">
              <c16:uniqueId val="{00000001-A3CA-4020-AD3C-8D4E7A8EB1C9}"/>
            </c:ext>
          </c:extLst>
        </c:ser>
        <c:ser>
          <c:idx val="2"/>
          <c:order val="2"/>
          <c:tx>
            <c:strRef>
              <c:f>'Working Table'!$D$74:$D$75</c:f>
              <c:strCache>
                <c:ptCount val="1"/>
                <c:pt idx="0">
                  <c:v>Under 30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Table'!$D$76:$D$81</c:f>
              <c:numCache>
                <c:formatCode>General</c:formatCode>
                <c:ptCount val="5"/>
                <c:pt idx="0">
                  <c:v>4</c:v>
                </c:pt>
                <c:pt idx="4">
                  <c:v>1</c:v>
                </c:pt>
              </c:numCache>
            </c:numRef>
          </c:val>
          <c:extLst>
            <c:ext xmlns:c16="http://schemas.microsoft.com/office/drawing/2014/chart" uri="{C3380CC4-5D6E-409C-BE32-E72D297353CC}">
              <c16:uniqueId val="{00000002-A3CA-4020-AD3C-8D4E7A8EB1C9}"/>
            </c:ext>
          </c:extLst>
        </c:ser>
        <c:dLbls>
          <c:dLblPos val="outEnd"/>
          <c:showLegendKey val="0"/>
          <c:showVal val="1"/>
          <c:showCatName val="0"/>
          <c:showSerName val="0"/>
          <c:showPercent val="0"/>
          <c:showBubbleSize val="0"/>
        </c:dLbls>
        <c:gapWidth val="182"/>
        <c:axId val="718083071"/>
        <c:axId val="997476399"/>
      </c:barChart>
      <c:catAx>
        <c:axId val="71808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6399"/>
        <c:crosses val="autoZero"/>
        <c:auto val="1"/>
        <c:lblAlgn val="ctr"/>
        <c:lblOffset val="100"/>
        <c:noMultiLvlLbl val="0"/>
      </c:catAx>
      <c:valAx>
        <c:axId val="99747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Accomodation Cost (USD)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4789449120008"/>
          <c:y val="0.21936172636086834"/>
          <c:w val="0.80893512593908556"/>
          <c:h val="0.69115604522433727"/>
        </c:manualLayout>
      </c:layout>
      <c:barChart>
        <c:barDir val="bar"/>
        <c:grouping val="clustered"/>
        <c:varyColors val="0"/>
        <c:ser>
          <c:idx val="0"/>
          <c:order val="0"/>
          <c:tx>
            <c:strRef>
              <c:f>'Working Table'!$B$84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Table'!$A$85:$A$90</c:f>
              <c:strCache>
                <c:ptCount val="5"/>
                <c:pt idx="0">
                  <c:v>Guesthouse</c:v>
                </c:pt>
                <c:pt idx="1">
                  <c:v>Hostel</c:v>
                </c:pt>
                <c:pt idx="2">
                  <c:v>Airbnb</c:v>
                </c:pt>
                <c:pt idx="3">
                  <c:v>Hotel</c:v>
                </c:pt>
                <c:pt idx="4">
                  <c:v>Resort</c:v>
                </c:pt>
              </c:strCache>
            </c:strRef>
          </c:cat>
          <c:val>
            <c:numRef>
              <c:f>'Working Table'!$B$85:$B$90</c:f>
              <c:numCache>
                <c:formatCode>"$"#,##0.00</c:formatCode>
                <c:ptCount val="5"/>
                <c:pt idx="0">
                  <c:v>400</c:v>
                </c:pt>
                <c:pt idx="1">
                  <c:v>622.08333333333337</c:v>
                </c:pt>
                <c:pt idx="2">
                  <c:v>1181.6666666666667</c:v>
                </c:pt>
                <c:pt idx="3">
                  <c:v>1491.6666666666667</c:v>
                </c:pt>
                <c:pt idx="4">
                  <c:v>1521.4285714285713</c:v>
                </c:pt>
              </c:numCache>
            </c:numRef>
          </c:val>
          <c:extLst>
            <c:ext xmlns:c16="http://schemas.microsoft.com/office/drawing/2014/chart" uri="{C3380CC4-5D6E-409C-BE32-E72D297353CC}">
              <c16:uniqueId val="{00000000-1DA6-4840-AD81-05CCE8D14A42}"/>
            </c:ext>
          </c:extLst>
        </c:ser>
        <c:dLbls>
          <c:dLblPos val="outEnd"/>
          <c:showLegendKey val="0"/>
          <c:showVal val="1"/>
          <c:showCatName val="0"/>
          <c:showSerName val="0"/>
          <c:showPercent val="0"/>
          <c:showBubbleSize val="0"/>
        </c:dLbls>
        <c:gapWidth val="182"/>
        <c:axId val="2067125120"/>
        <c:axId val="2093626336"/>
      </c:barChart>
      <c:catAx>
        <c:axId val="206712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26336"/>
        <c:crosses val="autoZero"/>
        <c:auto val="1"/>
        <c:lblAlgn val="ctr"/>
        <c:lblOffset val="100"/>
        <c:noMultiLvlLbl val="0"/>
      </c:catAx>
      <c:valAx>
        <c:axId val="209362633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2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Transportation Cost (USD)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Table'!$B$97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Table'!$A$98:$A$104</c:f>
              <c:strCache>
                <c:ptCount val="6"/>
                <c:pt idx="0">
                  <c:v>Bus</c:v>
                </c:pt>
                <c:pt idx="1">
                  <c:v>Car</c:v>
                </c:pt>
                <c:pt idx="2">
                  <c:v>Ferry</c:v>
                </c:pt>
                <c:pt idx="3">
                  <c:v>Flight</c:v>
                </c:pt>
                <c:pt idx="4">
                  <c:v>Subway</c:v>
                </c:pt>
                <c:pt idx="5">
                  <c:v>Train</c:v>
                </c:pt>
              </c:strCache>
            </c:strRef>
          </c:cat>
          <c:val>
            <c:numRef>
              <c:f>'Working Table'!$B$98:$B$104</c:f>
              <c:numCache>
                <c:formatCode>"$"#,##0.00</c:formatCode>
                <c:ptCount val="6"/>
                <c:pt idx="0">
                  <c:v>70.833333333333329</c:v>
                </c:pt>
                <c:pt idx="1">
                  <c:v>509.375</c:v>
                </c:pt>
                <c:pt idx="2">
                  <c:v>150</c:v>
                </c:pt>
                <c:pt idx="3">
                  <c:v>883.33333333333337</c:v>
                </c:pt>
                <c:pt idx="4">
                  <c:v>20</c:v>
                </c:pt>
                <c:pt idx="5">
                  <c:v>344.59459459459458</c:v>
                </c:pt>
              </c:numCache>
            </c:numRef>
          </c:val>
          <c:extLst>
            <c:ext xmlns:c16="http://schemas.microsoft.com/office/drawing/2014/chart" uri="{C3380CC4-5D6E-409C-BE32-E72D297353CC}">
              <c16:uniqueId val="{00000000-7B05-4E70-A646-8CBC44E39B98}"/>
            </c:ext>
          </c:extLst>
        </c:ser>
        <c:dLbls>
          <c:dLblPos val="outEnd"/>
          <c:showLegendKey val="0"/>
          <c:showVal val="1"/>
          <c:showCatName val="0"/>
          <c:showSerName val="0"/>
          <c:showPercent val="0"/>
          <c:showBubbleSize val="0"/>
        </c:dLbls>
        <c:gapWidth val="182"/>
        <c:axId val="454364000"/>
        <c:axId val="2093628256"/>
      </c:barChart>
      <c:catAx>
        <c:axId val="454364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28256"/>
        <c:crosses val="autoZero"/>
        <c:auto val="1"/>
        <c:lblAlgn val="ctr"/>
        <c:lblOffset val="100"/>
        <c:noMultiLvlLbl val="0"/>
      </c:catAx>
      <c:valAx>
        <c:axId val="2093628256"/>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6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Avg Cost Relationship</c:v>
          </c:tx>
          <c:spPr>
            <a:ln w="25400" cap="rnd">
              <a:noFill/>
              <a:round/>
            </a:ln>
            <a:effectLst/>
          </c:spPr>
          <c:marker>
            <c:symbol val="circle"/>
            <c:size val="5"/>
            <c:spPr>
              <a:solidFill>
                <a:schemeClr val="accent1"/>
              </a:solidFill>
              <a:ln w="9525">
                <a:solidFill>
                  <a:schemeClr val="accent1"/>
                </a:solidFill>
              </a:ln>
              <a:effectLst/>
            </c:spPr>
          </c:marker>
          <c:xVal>
            <c:numRef>
              <c:f>'Working Table'!$B$110:$B$147</c:f>
              <c:numCache>
                <c:formatCode>"$"#,##0.00</c:formatCode>
                <c:ptCount val="38"/>
                <c:pt idx="0">
                  <c:v>966.66666666666663</c:v>
                </c:pt>
                <c:pt idx="1">
                  <c:v>700</c:v>
                </c:pt>
                <c:pt idx="2">
                  <c:v>7000</c:v>
                </c:pt>
                <c:pt idx="3">
                  <c:v>1000</c:v>
                </c:pt>
                <c:pt idx="4">
                  <c:v>1191.6666666666667</c:v>
                </c:pt>
                <c:pt idx="5">
                  <c:v>587.5</c:v>
                </c:pt>
                <c:pt idx="6">
                  <c:v>1683.3333333333333</c:v>
                </c:pt>
                <c:pt idx="7">
                  <c:v>1400</c:v>
                </c:pt>
                <c:pt idx="8">
                  <c:v>150</c:v>
                </c:pt>
                <c:pt idx="9">
                  <c:v>350</c:v>
                </c:pt>
                <c:pt idx="10">
                  <c:v>1325</c:v>
                </c:pt>
                <c:pt idx="11">
                  <c:v>1175</c:v>
                </c:pt>
                <c:pt idx="12">
                  <c:v>1666.6666666666667</c:v>
                </c:pt>
                <c:pt idx="13">
                  <c:v>900</c:v>
                </c:pt>
                <c:pt idx="14">
                  <c:v>700</c:v>
                </c:pt>
                <c:pt idx="15">
                  <c:v>600</c:v>
                </c:pt>
                <c:pt idx="16">
                  <c:v>400</c:v>
                </c:pt>
                <c:pt idx="17">
                  <c:v>2000</c:v>
                </c:pt>
                <c:pt idx="18">
                  <c:v>3000</c:v>
                </c:pt>
                <c:pt idx="19">
                  <c:v>180</c:v>
                </c:pt>
                <c:pt idx="20">
                  <c:v>800</c:v>
                </c:pt>
                <c:pt idx="21">
                  <c:v>871.42857142857144</c:v>
                </c:pt>
                <c:pt idx="22">
                  <c:v>1200</c:v>
                </c:pt>
                <c:pt idx="23">
                  <c:v>600</c:v>
                </c:pt>
                <c:pt idx="24">
                  <c:v>500</c:v>
                </c:pt>
                <c:pt idx="25">
                  <c:v>1870</c:v>
                </c:pt>
                <c:pt idx="26">
                  <c:v>1342.8571428571429</c:v>
                </c:pt>
                <c:pt idx="27">
                  <c:v>200</c:v>
                </c:pt>
                <c:pt idx="28">
                  <c:v>1166.6666666666667</c:v>
                </c:pt>
                <c:pt idx="29">
                  <c:v>1260</c:v>
                </c:pt>
                <c:pt idx="30">
                  <c:v>1088.8888888888889</c:v>
                </c:pt>
                <c:pt idx="31">
                  <c:v>1000</c:v>
                </c:pt>
                <c:pt idx="32">
                  <c:v>650</c:v>
                </c:pt>
                <c:pt idx="33">
                  <c:v>900</c:v>
                </c:pt>
                <c:pt idx="34">
                  <c:v>1225</c:v>
                </c:pt>
                <c:pt idx="35">
                  <c:v>200</c:v>
                </c:pt>
                <c:pt idx="36">
                  <c:v>1266.6666666666667</c:v>
                </c:pt>
                <c:pt idx="37">
                  <c:v>2700</c:v>
                </c:pt>
              </c:numCache>
            </c:numRef>
          </c:xVal>
          <c:yVal>
            <c:numRef>
              <c:f>'Working Table'!$C$110:$C$147</c:f>
              <c:numCache>
                <c:formatCode>"$"#,##0.00</c:formatCode>
                <c:ptCount val="38"/>
                <c:pt idx="0">
                  <c:v>350</c:v>
                </c:pt>
                <c:pt idx="1">
                  <c:v>900</c:v>
                </c:pt>
                <c:pt idx="2">
                  <c:v>2500</c:v>
                </c:pt>
                <c:pt idx="3">
                  <c:v>500</c:v>
                </c:pt>
                <c:pt idx="4">
                  <c:v>808.33333333333337</c:v>
                </c:pt>
                <c:pt idx="5">
                  <c:v>362.5</c:v>
                </c:pt>
                <c:pt idx="6">
                  <c:v>716.66666666666663</c:v>
                </c:pt>
                <c:pt idx="7">
                  <c:v>700</c:v>
                </c:pt>
                <c:pt idx="8">
                  <c:v>50</c:v>
                </c:pt>
                <c:pt idx="9">
                  <c:v>75</c:v>
                </c:pt>
                <c:pt idx="10">
                  <c:v>600</c:v>
                </c:pt>
                <c:pt idx="11">
                  <c:v>1000</c:v>
                </c:pt>
                <c:pt idx="12">
                  <c:v>633.33333333333337</c:v>
                </c:pt>
                <c:pt idx="13">
                  <c:v>150</c:v>
                </c:pt>
                <c:pt idx="14">
                  <c:v>100</c:v>
                </c:pt>
                <c:pt idx="15">
                  <c:v>300</c:v>
                </c:pt>
                <c:pt idx="16">
                  <c:v>600</c:v>
                </c:pt>
                <c:pt idx="17">
                  <c:v>800</c:v>
                </c:pt>
                <c:pt idx="18">
                  <c:v>1200</c:v>
                </c:pt>
                <c:pt idx="19">
                  <c:v>120</c:v>
                </c:pt>
                <c:pt idx="20">
                  <c:v>500</c:v>
                </c:pt>
                <c:pt idx="21">
                  <c:v>328.57142857142856</c:v>
                </c:pt>
                <c:pt idx="22">
                  <c:v>300</c:v>
                </c:pt>
                <c:pt idx="23">
                  <c:v>400</c:v>
                </c:pt>
                <c:pt idx="24">
                  <c:v>800</c:v>
                </c:pt>
                <c:pt idx="25">
                  <c:v>740</c:v>
                </c:pt>
                <c:pt idx="26">
                  <c:v>692.85714285714289</c:v>
                </c:pt>
                <c:pt idx="27">
                  <c:v>500</c:v>
                </c:pt>
                <c:pt idx="28">
                  <c:v>666.66666666666663</c:v>
                </c:pt>
                <c:pt idx="29">
                  <c:v>770</c:v>
                </c:pt>
                <c:pt idx="30">
                  <c:v>460</c:v>
                </c:pt>
                <c:pt idx="31">
                  <c:v>150</c:v>
                </c:pt>
                <c:pt idx="32">
                  <c:v>85</c:v>
                </c:pt>
                <c:pt idx="33">
                  <c:v>400</c:v>
                </c:pt>
                <c:pt idx="34">
                  <c:v>970.83333333333337</c:v>
                </c:pt>
                <c:pt idx="35">
                  <c:v>150</c:v>
                </c:pt>
                <c:pt idx="36">
                  <c:v>533.33333333333337</c:v>
                </c:pt>
                <c:pt idx="37">
                  <c:v>1575</c:v>
                </c:pt>
              </c:numCache>
            </c:numRef>
          </c:yVal>
          <c:smooth val="0"/>
          <c:extLst>
            <c:ext xmlns:c16="http://schemas.microsoft.com/office/drawing/2014/chart" uri="{C3380CC4-5D6E-409C-BE32-E72D297353CC}">
              <c16:uniqueId val="{00000000-7A09-459A-9E6F-24EBDD4533EA}"/>
            </c:ext>
          </c:extLst>
        </c:ser>
        <c:dLbls>
          <c:showLegendKey val="0"/>
          <c:showVal val="0"/>
          <c:showCatName val="0"/>
          <c:showSerName val="0"/>
          <c:showPercent val="0"/>
          <c:showBubbleSize val="0"/>
        </c:dLbls>
        <c:axId val="59514832"/>
        <c:axId val="254316192"/>
      </c:scatterChart>
      <c:valAx>
        <c:axId val="59514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of Accomodation Cost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16192"/>
        <c:crosses val="autoZero"/>
        <c:crossBetween val="midCat"/>
      </c:valAx>
      <c:valAx>
        <c:axId val="25431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Transportation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48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 details dataset (post analysis).xlsx]Working Table!PivotTable15</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Top 5 Destination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Table'!$B$23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Table'!$A$24:$A$29</c:f>
              <c:strCache>
                <c:ptCount val="5"/>
                <c:pt idx="0">
                  <c:v>Paris</c:v>
                </c:pt>
                <c:pt idx="1">
                  <c:v>Sydney</c:v>
                </c:pt>
                <c:pt idx="2">
                  <c:v>Bali</c:v>
                </c:pt>
                <c:pt idx="3">
                  <c:v>Tokyo</c:v>
                </c:pt>
                <c:pt idx="4">
                  <c:v>New York City</c:v>
                </c:pt>
              </c:strCache>
            </c:strRef>
          </c:cat>
          <c:val>
            <c:numRef>
              <c:f>'Working Table'!$B$24:$B$29</c:f>
              <c:numCache>
                <c:formatCode>General</c:formatCode>
                <c:ptCount val="5"/>
                <c:pt idx="0">
                  <c:v>14</c:v>
                </c:pt>
                <c:pt idx="1">
                  <c:v>12</c:v>
                </c:pt>
                <c:pt idx="2">
                  <c:v>12</c:v>
                </c:pt>
                <c:pt idx="3">
                  <c:v>12</c:v>
                </c:pt>
                <c:pt idx="4">
                  <c:v>10</c:v>
                </c:pt>
              </c:numCache>
            </c:numRef>
          </c:val>
          <c:extLst>
            <c:ext xmlns:c16="http://schemas.microsoft.com/office/drawing/2014/chart" uri="{C3380CC4-5D6E-409C-BE32-E72D297353CC}">
              <c16:uniqueId val="{00000000-E6C9-4E05-986C-54867D60B13E}"/>
            </c:ext>
          </c:extLst>
        </c:ser>
        <c:dLbls>
          <c:dLblPos val="outEnd"/>
          <c:showLegendKey val="0"/>
          <c:showVal val="1"/>
          <c:showCatName val="0"/>
          <c:showSerName val="0"/>
          <c:showPercent val="0"/>
          <c:showBubbleSize val="0"/>
        </c:dLbls>
        <c:gapWidth val="444"/>
        <c:overlap val="-90"/>
        <c:axId val="1130184448"/>
        <c:axId val="1557330368"/>
      </c:barChart>
      <c:catAx>
        <c:axId val="11301844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7330368"/>
        <c:crosses val="autoZero"/>
        <c:auto val="1"/>
        <c:lblAlgn val="ctr"/>
        <c:lblOffset val="100"/>
        <c:noMultiLvlLbl val="0"/>
      </c:catAx>
      <c:valAx>
        <c:axId val="1557330368"/>
        <c:scaling>
          <c:orientation val="minMax"/>
        </c:scaling>
        <c:delete val="1"/>
        <c:axPos val="l"/>
        <c:numFmt formatCode="General" sourceLinked="1"/>
        <c:majorTickMark val="none"/>
        <c:minorTickMark val="none"/>
        <c:tickLblPos val="nextTo"/>
        <c:crossAx val="11301844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[Travel details dataset (post analysis).xlsx]Working Table!PivotTable3</c:name>
    <c:fmtId val="0"/>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Most Common Transportation</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Table'!$B$32</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Table'!$A$33:$A$39</c:f>
              <c:strCache>
                <c:ptCount val="6"/>
                <c:pt idx="0">
                  <c:v>Flight</c:v>
                </c:pt>
                <c:pt idx="1">
                  <c:v>Train</c:v>
                </c:pt>
                <c:pt idx="2">
                  <c:v>Car</c:v>
                </c:pt>
                <c:pt idx="3">
                  <c:v>Bus</c:v>
                </c:pt>
                <c:pt idx="4">
                  <c:v>Subway</c:v>
                </c:pt>
                <c:pt idx="5">
                  <c:v>Ferry</c:v>
                </c:pt>
              </c:strCache>
            </c:strRef>
          </c:cat>
          <c:val>
            <c:numRef>
              <c:f>'Working Table'!$B$33:$B$39</c:f>
              <c:numCache>
                <c:formatCode>General</c:formatCode>
                <c:ptCount val="6"/>
                <c:pt idx="0">
                  <c:v>75</c:v>
                </c:pt>
                <c:pt idx="1">
                  <c:v>37</c:v>
                </c:pt>
                <c:pt idx="2">
                  <c:v>16</c:v>
                </c:pt>
                <c:pt idx="3">
                  <c:v>6</c:v>
                </c:pt>
                <c:pt idx="4">
                  <c:v>1</c:v>
                </c:pt>
                <c:pt idx="5">
                  <c:v>1</c:v>
                </c:pt>
              </c:numCache>
            </c:numRef>
          </c:val>
          <c:extLst>
            <c:ext xmlns:c16="http://schemas.microsoft.com/office/drawing/2014/chart" uri="{C3380CC4-5D6E-409C-BE32-E72D297353CC}">
              <c16:uniqueId val="{00000000-2CFB-440F-83F7-84EAC5AD6C37}"/>
            </c:ext>
          </c:extLst>
        </c:ser>
        <c:dLbls>
          <c:dLblPos val="outEnd"/>
          <c:showLegendKey val="0"/>
          <c:showVal val="1"/>
          <c:showCatName val="0"/>
          <c:showSerName val="0"/>
          <c:showPercent val="0"/>
          <c:showBubbleSize val="0"/>
        </c:dLbls>
        <c:gapWidth val="444"/>
        <c:overlap val="-90"/>
        <c:axId val="661612639"/>
        <c:axId val="761026959"/>
      </c:barChart>
      <c:catAx>
        <c:axId val="6616126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61026959"/>
        <c:crosses val="autoZero"/>
        <c:auto val="1"/>
        <c:lblAlgn val="ctr"/>
        <c:lblOffset val="100"/>
        <c:noMultiLvlLbl val="0"/>
      </c:catAx>
      <c:valAx>
        <c:axId val="761026959"/>
        <c:scaling>
          <c:orientation val="minMax"/>
        </c:scaling>
        <c:delete val="1"/>
        <c:axPos val="l"/>
        <c:numFmt formatCode="General" sourceLinked="1"/>
        <c:majorTickMark val="none"/>
        <c:minorTickMark val="none"/>
        <c:tickLblPos val="nextTo"/>
        <c:crossAx val="661612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Table!PivotTable27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Table'!$B$74:$B$75</c:f>
              <c:strCache>
                <c:ptCount val="1"/>
                <c:pt idx="0">
                  <c:v>30-40</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Table'!$B$76:$B$81</c:f>
              <c:numCache>
                <c:formatCode>General</c:formatCode>
                <c:ptCount val="5"/>
                <c:pt idx="0">
                  <c:v>3</c:v>
                </c:pt>
                <c:pt idx="1">
                  <c:v>2</c:v>
                </c:pt>
                <c:pt idx="2">
                  <c:v>1</c:v>
                </c:pt>
                <c:pt idx="3">
                  <c:v>1</c:v>
                </c:pt>
              </c:numCache>
            </c:numRef>
          </c:val>
          <c:extLst>
            <c:ext xmlns:c16="http://schemas.microsoft.com/office/drawing/2014/chart" uri="{C3380CC4-5D6E-409C-BE32-E72D297353CC}">
              <c16:uniqueId val="{00000000-1D76-4D1A-9E16-5BCEEB4FD517}"/>
            </c:ext>
          </c:extLst>
        </c:ser>
        <c:ser>
          <c:idx val="1"/>
          <c:order val="1"/>
          <c:tx>
            <c:strRef>
              <c:f>'Working Table'!$C$74:$C$75</c:f>
              <c:strCache>
                <c:ptCount val="1"/>
                <c:pt idx="0">
                  <c:v>Over 40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Table'!$C$76:$C$81</c:f>
              <c:numCache>
                <c:formatCode>General</c:formatCode>
                <c:ptCount val="5"/>
                <c:pt idx="0">
                  <c:v>1</c:v>
                </c:pt>
                <c:pt idx="1">
                  <c:v>1</c:v>
                </c:pt>
              </c:numCache>
            </c:numRef>
          </c:val>
          <c:extLst>
            <c:ext xmlns:c16="http://schemas.microsoft.com/office/drawing/2014/chart" uri="{C3380CC4-5D6E-409C-BE32-E72D297353CC}">
              <c16:uniqueId val="{00000003-1D8E-4373-9F17-9AF8C49894A8}"/>
            </c:ext>
          </c:extLst>
        </c:ser>
        <c:ser>
          <c:idx val="2"/>
          <c:order val="2"/>
          <c:tx>
            <c:strRef>
              <c:f>'Working Table'!$D$74:$D$75</c:f>
              <c:strCache>
                <c:ptCount val="1"/>
                <c:pt idx="0">
                  <c:v>Under 30</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Table'!$A$76:$A$81</c:f>
              <c:strCache>
                <c:ptCount val="5"/>
                <c:pt idx="0">
                  <c:v>Bangkok</c:v>
                </c:pt>
                <c:pt idx="1">
                  <c:v>Amsterdam</c:v>
                </c:pt>
                <c:pt idx="2">
                  <c:v>Brazil</c:v>
                </c:pt>
                <c:pt idx="3">
                  <c:v>Athens</c:v>
                </c:pt>
                <c:pt idx="4">
                  <c:v>Australia</c:v>
                </c:pt>
              </c:strCache>
            </c:strRef>
          </c:cat>
          <c:val>
            <c:numRef>
              <c:f>'Working Table'!$D$76:$D$81</c:f>
              <c:numCache>
                <c:formatCode>General</c:formatCode>
                <c:ptCount val="5"/>
                <c:pt idx="0">
                  <c:v>4</c:v>
                </c:pt>
                <c:pt idx="4">
                  <c:v>1</c:v>
                </c:pt>
              </c:numCache>
            </c:numRef>
          </c:val>
          <c:extLst>
            <c:ext xmlns:c16="http://schemas.microsoft.com/office/drawing/2014/chart" uri="{C3380CC4-5D6E-409C-BE32-E72D297353CC}">
              <c16:uniqueId val="{00000004-1D8E-4373-9F17-9AF8C49894A8}"/>
            </c:ext>
          </c:extLst>
        </c:ser>
        <c:dLbls>
          <c:dLblPos val="outEnd"/>
          <c:showLegendKey val="0"/>
          <c:showVal val="1"/>
          <c:showCatName val="0"/>
          <c:showSerName val="0"/>
          <c:showPercent val="0"/>
          <c:showBubbleSize val="0"/>
        </c:dLbls>
        <c:gapWidth val="182"/>
        <c:axId val="718083071"/>
        <c:axId val="997476399"/>
      </c:barChart>
      <c:catAx>
        <c:axId val="71808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476399"/>
        <c:crosses val="autoZero"/>
        <c:auto val="1"/>
        <c:lblAlgn val="ctr"/>
        <c:lblOffset val="100"/>
        <c:noMultiLvlLbl val="0"/>
      </c:catAx>
      <c:valAx>
        <c:axId val="997476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08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of Accomodation Cost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84789449120008"/>
          <c:y val="0.21936172636086834"/>
          <c:w val="0.80893512593908556"/>
          <c:h val="0.69115604522433727"/>
        </c:manualLayout>
      </c:layout>
      <c:barChart>
        <c:barDir val="bar"/>
        <c:grouping val="clustered"/>
        <c:varyColors val="0"/>
        <c:ser>
          <c:idx val="0"/>
          <c:order val="0"/>
          <c:tx>
            <c:strRef>
              <c:f>'Working Table'!$B$84</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Table'!$A$85:$A$90</c:f>
              <c:strCache>
                <c:ptCount val="5"/>
                <c:pt idx="0">
                  <c:v>Guesthouse</c:v>
                </c:pt>
                <c:pt idx="1">
                  <c:v>Hostel</c:v>
                </c:pt>
                <c:pt idx="2">
                  <c:v>Airbnb</c:v>
                </c:pt>
                <c:pt idx="3">
                  <c:v>Hotel</c:v>
                </c:pt>
                <c:pt idx="4">
                  <c:v>Resort</c:v>
                </c:pt>
              </c:strCache>
            </c:strRef>
          </c:cat>
          <c:val>
            <c:numRef>
              <c:f>'Working Table'!$B$85:$B$90</c:f>
              <c:numCache>
                <c:formatCode>"$"#,##0.00</c:formatCode>
                <c:ptCount val="5"/>
                <c:pt idx="0">
                  <c:v>400</c:v>
                </c:pt>
                <c:pt idx="1">
                  <c:v>622.08333333333337</c:v>
                </c:pt>
                <c:pt idx="2">
                  <c:v>1181.6666666666667</c:v>
                </c:pt>
                <c:pt idx="3">
                  <c:v>1491.6666666666667</c:v>
                </c:pt>
                <c:pt idx="4">
                  <c:v>1521.4285714285713</c:v>
                </c:pt>
              </c:numCache>
            </c:numRef>
          </c:val>
          <c:extLst>
            <c:ext xmlns:c16="http://schemas.microsoft.com/office/drawing/2014/chart" uri="{C3380CC4-5D6E-409C-BE32-E72D297353CC}">
              <c16:uniqueId val="{00000000-7AE8-4225-B961-01B845881ED1}"/>
            </c:ext>
          </c:extLst>
        </c:ser>
        <c:dLbls>
          <c:dLblPos val="outEnd"/>
          <c:showLegendKey val="0"/>
          <c:showVal val="1"/>
          <c:showCatName val="0"/>
          <c:showSerName val="0"/>
          <c:showPercent val="0"/>
          <c:showBubbleSize val="0"/>
        </c:dLbls>
        <c:gapWidth val="182"/>
        <c:axId val="2067125120"/>
        <c:axId val="2093626336"/>
      </c:barChart>
      <c:catAx>
        <c:axId val="2067125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26336"/>
        <c:crosses val="autoZero"/>
        <c:auto val="1"/>
        <c:lblAlgn val="ctr"/>
        <c:lblOffset val="100"/>
        <c:noMultiLvlLbl val="0"/>
      </c:catAx>
      <c:valAx>
        <c:axId val="2093626336"/>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12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[Travel details dataset (post analysis).xlsx]Working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of Transportation Cost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'Working Table'!$B$97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'Working Table'!$A$98:$A$104</c:f>
              <c:strCache>
                <c:ptCount val="6"/>
                <c:pt idx="0">
                  <c:v>Bus</c:v>
                </c:pt>
                <c:pt idx="1">
                  <c:v>Car</c:v>
                </c:pt>
                <c:pt idx="2">
                  <c:v>Ferry</c:v>
                </c:pt>
                <c:pt idx="3">
                  <c:v>Flight</c:v>
                </c:pt>
                <c:pt idx="4">
                  <c:v>Subway</c:v>
                </c:pt>
                <c:pt idx="5">
                  <c:v>Train</c:v>
                </c:pt>
              </c:strCache>
            </c:strRef>
          </c:cat>
          <c:val>
            <c:numRef>
              <c:f>'Working Table'!$B$98:$B$104</c:f>
              <c:numCache>
                <c:formatCode>"$"#,##0.00</c:formatCode>
                <c:ptCount val="6"/>
                <c:pt idx="0">
                  <c:v>70.833333333333329</c:v>
                </c:pt>
                <c:pt idx="1">
                  <c:v>509.375</c:v>
                </c:pt>
                <c:pt idx="2">
                  <c:v>150</c:v>
                </c:pt>
                <c:pt idx="3">
                  <c:v>883.33333333333337</c:v>
                </c:pt>
                <c:pt idx="4">
                  <c:v>20</c:v>
                </c:pt>
                <c:pt idx="5">
                  <c:v>344.59459459459458</c:v>
                </c:pt>
              </c:numCache>
            </c:numRef>
          </c:val>
          <c:extLst>
            <c:ext xmlns:c16="http://schemas.microsoft.com/office/drawing/2014/chart" uri="{C3380CC4-5D6E-409C-BE32-E72D297353CC}">
              <c16:uniqueId val="{00000000-0F35-4CFF-A546-254219571984}"/>
            </c:ext>
          </c:extLst>
        </c:ser>
        <c:dLbls>
          <c:dLblPos val="outEnd"/>
          <c:showLegendKey val="0"/>
          <c:showVal val="1"/>
          <c:showCatName val="0"/>
          <c:showSerName val="0"/>
          <c:showPercent val="0"/>
          <c:showBubbleSize val="0"/>
        </c:dLbls>
        <c:gapWidth val="182"/>
        <c:axId val="454364000"/>
        <c:axId val="2093628256"/>
      </c:barChart>
      <c:catAx>
        <c:axId val="4543640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3628256"/>
        <c:crosses val="autoZero"/>
        <c:auto val="1"/>
        <c:lblAlgn val="ctr"/>
        <c:lblOffset val="100"/>
        <c:noMultiLvlLbl val="0"/>
      </c:catAx>
      <c:valAx>
        <c:axId val="2093628256"/>
        <c:scaling>
          <c:orientation val="minMax"/>
        </c:scaling>
        <c:delete val="0"/>
        <c:axPos val="b"/>
        <c:numFmt formatCode="&quot;$&quot;#,##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43640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Avg Cost Relationship</c:v>
          </c:tx>
          <c:spPr>
            <a:ln w="25400" cap="rnd">
              <a:noFill/>
              <a:round/>
            </a:ln>
            <a:effectLst/>
          </c:spPr>
          <c:marker>
            <c:symbol val="circle"/>
            <c:size val="5"/>
            <c:spPr>
              <a:solidFill>
                <a:schemeClr val="accent1"/>
              </a:solidFill>
              <a:ln w="9525">
                <a:solidFill>
                  <a:schemeClr val="accent1"/>
                </a:solidFill>
              </a:ln>
              <a:effectLst/>
            </c:spPr>
          </c:marker>
          <c:xVal>
            <c:numRef>
              <c:f>'Working Table'!$B$110:$B$147</c:f>
              <c:numCache>
                <c:formatCode>"$"#,##0.00</c:formatCode>
                <c:ptCount val="38"/>
                <c:pt idx="0">
                  <c:v>966.66666666666663</c:v>
                </c:pt>
                <c:pt idx="1">
                  <c:v>700</c:v>
                </c:pt>
                <c:pt idx="2">
                  <c:v>7000</c:v>
                </c:pt>
                <c:pt idx="3">
                  <c:v>1000</c:v>
                </c:pt>
                <c:pt idx="4">
                  <c:v>1191.6666666666667</c:v>
                </c:pt>
                <c:pt idx="5">
                  <c:v>587.5</c:v>
                </c:pt>
                <c:pt idx="6">
                  <c:v>1683.3333333333333</c:v>
                </c:pt>
                <c:pt idx="7">
                  <c:v>1400</c:v>
                </c:pt>
                <c:pt idx="8">
                  <c:v>150</c:v>
                </c:pt>
                <c:pt idx="9">
                  <c:v>350</c:v>
                </c:pt>
                <c:pt idx="10">
                  <c:v>1325</c:v>
                </c:pt>
                <c:pt idx="11">
                  <c:v>1175</c:v>
                </c:pt>
                <c:pt idx="12">
                  <c:v>1666.6666666666667</c:v>
                </c:pt>
                <c:pt idx="13">
                  <c:v>900</c:v>
                </c:pt>
                <c:pt idx="14">
                  <c:v>700</c:v>
                </c:pt>
                <c:pt idx="15">
                  <c:v>600</c:v>
                </c:pt>
                <c:pt idx="16">
                  <c:v>400</c:v>
                </c:pt>
                <c:pt idx="17">
                  <c:v>2000</c:v>
                </c:pt>
                <c:pt idx="18">
                  <c:v>3000</c:v>
                </c:pt>
                <c:pt idx="19">
                  <c:v>180</c:v>
                </c:pt>
                <c:pt idx="20">
                  <c:v>800</c:v>
                </c:pt>
                <c:pt idx="21">
                  <c:v>871.42857142857144</c:v>
                </c:pt>
                <c:pt idx="22">
                  <c:v>1200</c:v>
                </c:pt>
                <c:pt idx="23">
                  <c:v>600</c:v>
                </c:pt>
                <c:pt idx="24">
                  <c:v>500</c:v>
                </c:pt>
                <c:pt idx="25">
                  <c:v>1870</c:v>
                </c:pt>
                <c:pt idx="26">
                  <c:v>1342.8571428571429</c:v>
                </c:pt>
                <c:pt idx="27">
                  <c:v>200</c:v>
                </c:pt>
                <c:pt idx="28">
                  <c:v>1166.6666666666667</c:v>
                </c:pt>
                <c:pt idx="29">
                  <c:v>1260</c:v>
                </c:pt>
                <c:pt idx="30">
                  <c:v>1088.8888888888889</c:v>
                </c:pt>
                <c:pt idx="31">
                  <c:v>1000</c:v>
                </c:pt>
                <c:pt idx="32">
                  <c:v>650</c:v>
                </c:pt>
                <c:pt idx="33">
                  <c:v>900</c:v>
                </c:pt>
                <c:pt idx="34">
                  <c:v>1225</c:v>
                </c:pt>
                <c:pt idx="35">
                  <c:v>200</c:v>
                </c:pt>
                <c:pt idx="36">
                  <c:v>1266.6666666666667</c:v>
                </c:pt>
                <c:pt idx="37">
                  <c:v>2700</c:v>
                </c:pt>
              </c:numCache>
            </c:numRef>
          </c:xVal>
          <c:yVal>
            <c:numRef>
              <c:f>'Working Table'!$C$110:$C$147</c:f>
              <c:numCache>
                <c:formatCode>"$"#,##0.00</c:formatCode>
                <c:ptCount val="38"/>
                <c:pt idx="0">
                  <c:v>350</c:v>
                </c:pt>
                <c:pt idx="1">
                  <c:v>900</c:v>
                </c:pt>
                <c:pt idx="2">
                  <c:v>2500</c:v>
                </c:pt>
                <c:pt idx="3">
                  <c:v>500</c:v>
                </c:pt>
                <c:pt idx="4">
                  <c:v>808.33333333333337</c:v>
                </c:pt>
                <c:pt idx="5">
                  <c:v>362.5</c:v>
                </c:pt>
                <c:pt idx="6">
                  <c:v>716.66666666666663</c:v>
                </c:pt>
                <c:pt idx="7">
                  <c:v>700</c:v>
                </c:pt>
                <c:pt idx="8">
                  <c:v>50</c:v>
                </c:pt>
                <c:pt idx="9">
                  <c:v>75</c:v>
                </c:pt>
                <c:pt idx="10">
                  <c:v>600</c:v>
                </c:pt>
                <c:pt idx="11">
                  <c:v>1000</c:v>
                </c:pt>
                <c:pt idx="12">
                  <c:v>633.33333333333337</c:v>
                </c:pt>
                <c:pt idx="13">
                  <c:v>150</c:v>
                </c:pt>
                <c:pt idx="14">
                  <c:v>100</c:v>
                </c:pt>
                <c:pt idx="15">
                  <c:v>300</c:v>
                </c:pt>
                <c:pt idx="16">
                  <c:v>600</c:v>
                </c:pt>
                <c:pt idx="17">
                  <c:v>800</c:v>
                </c:pt>
                <c:pt idx="18">
                  <c:v>1200</c:v>
                </c:pt>
                <c:pt idx="19">
                  <c:v>120</c:v>
                </c:pt>
                <c:pt idx="20">
                  <c:v>500</c:v>
                </c:pt>
                <c:pt idx="21">
                  <c:v>328.57142857142856</c:v>
                </c:pt>
                <c:pt idx="22">
                  <c:v>300</c:v>
                </c:pt>
                <c:pt idx="23">
                  <c:v>400</c:v>
                </c:pt>
                <c:pt idx="24">
                  <c:v>800</c:v>
                </c:pt>
                <c:pt idx="25">
                  <c:v>740</c:v>
                </c:pt>
                <c:pt idx="26">
                  <c:v>692.85714285714289</c:v>
                </c:pt>
                <c:pt idx="27">
                  <c:v>500</c:v>
                </c:pt>
                <c:pt idx="28">
                  <c:v>666.66666666666663</c:v>
                </c:pt>
                <c:pt idx="29">
                  <c:v>770</c:v>
                </c:pt>
                <c:pt idx="30">
                  <c:v>460</c:v>
                </c:pt>
                <c:pt idx="31">
                  <c:v>150</c:v>
                </c:pt>
                <c:pt idx="32">
                  <c:v>85</c:v>
                </c:pt>
                <c:pt idx="33">
                  <c:v>400</c:v>
                </c:pt>
                <c:pt idx="34">
                  <c:v>970.83333333333337</c:v>
                </c:pt>
                <c:pt idx="35">
                  <c:v>150</c:v>
                </c:pt>
                <c:pt idx="36">
                  <c:v>533.33333333333337</c:v>
                </c:pt>
                <c:pt idx="37">
                  <c:v>1575</c:v>
                </c:pt>
              </c:numCache>
            </c:numRef>
          </c:yVal>
          <c:smooth val="0"/>
          <c:extLst>
            <c:ext xmlns:c16="http://schemas.microsoft.com/office/drawing/2014/chart" uri="{C3380CC4-5D6E-409C-BE32-E72D297353CC}">
              <c16:uniqueId val="{00000002-0670-434B-821E-C159EB2D961F}"/>
            </c:ext>
          </c:extLst>
        </c:ser>
        <c:dLbls>
          <c:showLegendKey val="0"/>
          <c:showVal val="0"/>
          <c:showCatName val="0"/>
          <c:showSerName val="0"/>
          <c:showPercent val="0"/>
          <c:showBubbleSize val="0"/>
        </c:dLbls>
        <c:axId val="59514832"/>
        <c:axId val="254316192"/>
      </c:scatterChart>
      <c:valAx>
        <c:axId val="5951483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a:t>
                </a:r>
                <a:r>
                  <a:rPr lang="en-US" baseline="0"/>
                  <a:t> of Accomodation Cost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4316192"/>
        <c:crosses val="autoZero"/>
        <c:crossBetween val="midCat"/>
      </c:valAx>
      <c:valAx>
        <c:axId val="254316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Avg. of Transportation Cost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51483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19</xdr:col>
      <xdr:colOff>603250</xdr:colOff>
      <xdr:row>2</xdr:row>
      <xdr:rowOff>171824</xdr:rowOff>
    </xdr:to>
    <xdr:sp macro="" textlink="">
      <xdr:nvSpPr>
        <xdr:cNvPr id="2" name="TextBox 1">
          <a:extLst>
            <a:ext uri="{FF2B5EF4-FFF2-40B4-BE49-F238E27FC236}">
              <a16:creationId xmlns:a16="http://schemas.microsoft.com/office/drawing/2014/main" id="{48AF1DED-2CDA-B9D3-48CB-3154035E0D57}"/>
            </a:ext>
          </a:extLst>
        </xdr:cNvPr>
        <xdr:cNvSpPr txBox="1"/>
      </xdr:nvSpPr>
      <xdr:spPr>
        <a:xfrm>
          <a:off x="612588" y="0"/>
          <a:ext cx="11629838" cy="545353"/>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dk1"/>
              </a:solidFill>
              <a:latin typeface="Aharoni" panose="020F0502020204030204" pitchFamily="2" charset="-79"/>
              <a:ea typeface="+mn-ea"/>
              <a:cs typeface="Aharoni" panose="020F0502020204030204" pitchFamily="2" charset="-79"/>
            </a:rPr>
            <a:t>Travel</a:t>
          </a:r>
          <a:r>
            <a:rPr lang="en-US" sz="2800" b="1">
              <a:solidFill>
                <a:srgbClr val="FF0000"/>
              </a:solidFill>
              <a:latin typeface="Aharoni" panose="020F0502020204030204" pitchFamily="2" charset="-79"/>
              <a:cs typeface="Aharoni" panose="020F0502020204030204" pitchFamily="2" charset="-79"/>
            </a:rPr>
            <a:t> Dataset</a:t>
          </a:r>
        </a:p>
      </xdr:txBody>
    </xdr:sp>
    <xdr:clientData/>
  </xdr:twoCellAnchor>
  <xdr:twoCellAnchor>
    <xdr:from>
      <xdr:col>1</xdr:col>
      <xdr:colOff>0</xdr:colOff>
      <xdr:row>4</xdr:row>
      <xdr:rowOff>7471</xdr:rowOff>
    </xdr:from>
    <xdr:to>
      <xdr:col>5</xdr:col>
      <xdr:colOff>7471</xdr:colOff>
      <xdr:row>8</xdr:row>
      <xdr:rowOff>22412</xdr:rowOff>
    </xdr:to>
    <xdr:sp macro="" textlink="'Working Table'!$A$14">
      <xdr:nvSpPr>
        <xdr:cNvPr id="10" name="Rectangle: Rounded Corners 9">
          <a:extLst>
            <a:ext uri="{FF2B5EF4-FFF2-40B4-BE49-F238E27FC236}">
              <a16:creationId xmlns:a16="http://schemas.microsoft.com/office/drawing/2014/main" id="{B8A4DF9B-471E-C6FD-81D9-4A89E8C68ED4}"/>
            </a:ext>
          </a:extLst>
        </xdr:cNvPr>
        <xdr:cNvSpPr/>
      </xdr:nvSpPr>
      <xdr:spPr>
        <a:xfrm>
          <a:off x="612588" y="754530"/>
          <a:ext cx="2457824" cy="762000"/>
        </a:xfrm>
        <a:prstGeom prst="round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7C4577A-A715-466B-988D-B1C316F3ED7A}" type="TxLink">
            <a:rPr lang="en-US" sz="2000" b="0" i="0" u="none" strike="noStrike">
              <a:solidFill>
                <a:srgbClr val="000000"/>
              </a:solidFill>
              <a:latin typeface="Calibri"/>
              <a:ea typeface="Calibri"/>
              <a:cs typeface="Calibri"/>
            </a:rPr>
            <a:pPr algn="ctr"/>
            <a:t>$1,330.00</a:t>
          </a:fld>
          <a:endParaRPr lang="en-US" sz="2000"/>
        </a:p>
      </xdr:txBody>
    </xdr:sp>
    <xdr:clientData/>
  </xdr:twoCellAnchor>
  <xdr:twoCellAnchor>
    <xdr:from>
      <xdr:col>1</xdr:col>
      <xdr:colOff>97119</xdr:colOff>
      <xdr:row>4</xdr:row>
      <xdr:rowOff>97116</xdr:rowOff>
    </xdr:from>
    <xdr:to>
      <xdr:col>4</xdr:col>
      <xdr:colOff>582706</xdr:colOff>
      <xdr:row>5</xdr:row>
      <xdr:rowOff>141940</xdr:rowOff>
    </xdr:to>
    <xdr:sp macro="" textlink="">
      <xdr:nvSpPr>
        <xdr:cNvPr id="11" name="TextBox 10">
          <a:extLst>
            <a:ext uri="{FF2B5EF4-FFF2-40B4-BE49-F238E27FC236}">
              <a16:creationId xmlns:a16="http://schemas.microsoft.com/office/drawing/2014/main" id="{23B8E808-A71E-8A50-6402-DE4A173D3D5C}"/>
            </a:ext>
          </a:extLst>
        </xdr:cNvPr>
        <xdr:cNvSpPr txBox="1"/>
      </xdr:nvSpPr>
      <xdr:spPr>
        <a:xfrm>
          <a:off x="709707" y="844175"/>
          <a:ext cx="2323352" cy="2315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Avg.</a:t>
          </a:r>
          <a:r>
            <a:rPr lang="en-US" sz="1400" b="1" baseline="0">
              <a:solidFill>
                <a:srgbClr val="FF0000"/>
              </a:solidFill>
            </a:rPr>
            <a:t> Cost of Accommodation</a:t>
          </a:r>
          <a:endParaRPr lang="en-US" sz="1400" b="1">
            <a:solidFill>
              <a:srgbClr val="FF0000"/>
            </a:solidFill>
          </a:endParaRPr>
        </a:p>
      </xdr:txBody>
    </xdr:sp>
    <xdr:clientData/>
  </xdr:twoCellAnchor>
  <xdr:twoCellAnchor>
    <xdr:from>
      <xdr:col>6</xdr:col>
      <xdr:colOff>2989</xdr:colOff>
      <xdr:row>4</xdr:row>
      <xdr:rowOff>17929</xdr:rowOff>
    </xdr:from>
    <xdr:to>
      <xdr:col>10</xdr:col>
      <xdr:colOff>10460</xdr:colOff>
      <xdr:row>8</xdr:row>
      <xdr:rowOff>32870</xdr:rowOff>
    </xdr:to>
    <xdr:sp macro="" textlink="'Working Table'!$B$196">
      <xdr:nvSpPr>
        <xdr:cNvPr id="13" name="Rectangle: Rounded Corners 12">
          <a:extLst>
            <a:ext uri="{FF2B5EF4-FFF2-40B4-BE49-F238E27FC236}">
              <a16:creationId xmlns:a16="http://schemas.microsoft.com/office/drawing/2014/main" id="{7EC033B2-B788-494B-9919-C9C9D35D03F2}"/>
            </a:ext>
          </a:extLst>
        </xdr:cNvPr>
        <xdr:cNvSpPr/>
      </xdr:nvSpPr>
      <xdr:spPr>
        <a:xfrm>
          <a:off x="3678518" y="764988"/>
          <a:ext cx="2457824" cy="762000"/>
        </a:xfrm>
        <a:prstGeom prst="round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2E818757-51AB-499F-8307-EE376E57D77F}" type="TxLink">
            <a:rPr lang="en-US" sz="2000" b="0" i="0" u="none" strike="noStrike">
              <a:solidFill>
                <a:srgbClr val="000000"/>
              </a:solidFill>
              <a:latin typeface="Calibri"/>
              <a:ea typeface="Calibri"/>
              <a:cs typeface="Calibri"/>
            </a:rPr>
            <a:pPr algn="ctr"/>
            <a:t>$258,325.00</a:t>
          </a:fld>
          <a:endParaRPr lang="en-US" sz="4000"/>
        </a:p>
      </xdr:txBody>
    </xdr:sp>
    <xdr:clientData/>
  </xdr:twoCellAnchor>
  <xdr:twoCellAnchor>
    <xdr:from>
      <xdr:col>6</xdr:col>
      <xdr:colOff>331696</xdr:colOff>
      <xdr:row>4</xdr:row>
      <xdr:rowOff>100105</xdr:rowOff>
    </xdr:from>
    <xdr:to>
      <xdr:col>9</xdr:col>
      <xdr:colOff>324225</xdr:colOff>
      <xdr:row>5</xdr:row>
      <xdr:rowOff>129987</xdr:rowOff>
    </xdr:to>
    <xdr:sp macro="" textlink="">
      <xdr:nvSpPr>
        <xdr:cNvPr id="15" name="TextBox 14">
          <a:extLst>
            <a:ext uri="{FF2B5EF4-FFF2-40B4-BE49-F238E27FC236}">
              <a16:creationId xmlns:a16="http://schemas.microsoft.com/office/drawing/2014/main" id="{7B004702-C8B0-4E18-9F35-4B7C02901D2D}"/>
            </a:ext>
          </a:extLst>
        </xdr:cNvPr>
        <xdr:cNvSpPr txBox="1"/>
      </xdr:nvSpPr>
      <xdr:spPr>
        <a:xfrm>
          <a:off x="4007225" y="847164"/>
          <a:ext cx="1830294" cy="216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Total Cost</a:t>
          </a:r>
        </a:p>
      </xdr:txBody>
    </xdr:sp>
    <xdr:clientData/>
  </xdr:twoCellAnchor>
  <xdr:twoCellAnchor>
    <xdr:from>
      <xdr:col>10</xdr:col>
      <xdr:colOff>596154</xdr:colOff>
      <xdr:row>3</xdr:row>
      <xdr:rowOff>185271</xdr:rowOff>
    </xdr:from>
    <xdr:to>
      <xdr:col>14</xdr:col>
      <xdr:colOff>603625</xdr:colOff>
      <xdr:row>8</xdr:row>
      <xdr:rowOff>13447</xdr:rowOff>
    </xdr:to>
    <xdr:sp macro="" textlink="'Working Table'!$A$4">
      <xdr:nvSpPr>
        <xdr:cNvPr id="16" name="Rectangle: Rounded Corners 15">
          <a:extLst>
            <a:ext uri="{FF2B5EF4-FFF2-40B4-BE49-F238E27FC236}">
              <a16:creationId xmlns:a16="http://schemas.microsoft.com/office/drawing/2014/main" id="{9882AB2B-49B6-407D-AFC9-08F31D753BF6}"/>
            </a:ext>
          </a:extLst>
        </xdr:cNvPr>
        <xdr:cNvSpPr/>
      </xdr:nvSpPr>
      <xdr:spPr>
        <a:xfrm>
          <a:off x="6722036" y="745565"/>
          <a:ext cx="2457824" cy="762000"/>
        </a:xfrm>
        <a:prstGeom prst="round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6DD914E9-63E9-4CA3-B6B6-D52CE66F216E}" type="TxLink">
            <a:rPr lang="en-US" sz="2000" b="0" i="0" u="none" strike="noStrike">
              <a:solidFill>
                <a:srgbClr val="000000"/>
              </a:solidFill>
              <a:latin typeface="Calibri"/>
              <a:ea typeface="Calibri"/>
              <a:cs typeface="Calibri"/>
            </a:rPr>
            <a:pPr algn="ctr"/>
            <a:t>139</a:t>
          </a:fld>
          <a:endParaRPr lang="en-US" sz="6600"/>
        </a:p>
      </xdr:txBody>
    </xdr:sp>
    <xdr:clientData/>
  </xdr:twoCellAnchor>
  <xdr:twoCellAnchor>
    <xdr:from>
      <xdr:col>11</xdr:col>
      <xdr:colOff>289860</xdr:colOff>
      <xdr:row>4</xdr:row>
      <xdr:rowOff>80681</xdr:rowOff>
    </xdr:from>
    <xdr:to>
      <xdr:col>14</xdr:col>
      <xdr:colOff>282390</xdr:colOff>
      <xdr:row>5</xdr:row>
      <xdr:rowOff>110563</xdr:rowOff>
    </xdr:to>
    <xdr:sp macro="" textlink="">
      <xdr:nvSpPr>
        <xdr:cNvPr id="17" name="TextBox 16">
          <a:extLst>
            <a:ext uri="{FF2B5EF4-FFF2-40B4-BE49-F238E27FC236}">
              <a16:creationId xmlns:a16="http://schemas.microsoft.com/office/drawing/2014/main" id="{D54A75FB-A061-460E-9A59-CA30646F74B6}"/>
            </a:ext>
          </a:extLst>
        </xdr:cNvPr>
        <xdr:cNvSpPr txBox="1"/>
      </xdr:nvSpPr>
      <xdr:spPr>
        <a:xfrm>
          <a:off x="7028331" y="827740"/>
          <a:ext cx="1830294" cy="2166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Total</a:t>
          </a:r>
          <a:r>
            <a:rPr lang="en-US" sz="1100" b="1">
              <a:solidFill>
                <a:srgbClr val="FF0000"/>
              </a:solidFill>
            </a:rPr>
            <a:t> </a:t>
          </a:r>
          <a:r>
            <a:rPr lang="en-US" sz="1400" b="1">
              <a:solidFill>
                <a:srgbClr val="FF0000"/>
              </a:solidFill>
            </a:rPr>
            <a:t>Trip</a:t>
          </a:r>
          <a:endParaRPr lang="en-US" sz="1100" b="1">
            <a:solidFill>
              <a:srgbClr val="FF0000"/>
            </a:solidFill>
          </a:endParaRPr>
        </a:p>
      </xdr:txBody>
    </xdr:sp>
    <xdr:clientData/>
  </xdr:twoCellAnchor>
  <xdr:twoCellAnchor>
    <xdr:from>
      <xdr:col>15</xdr:col>
      <xdr:colOff>611094</xdr:colOff>
      <xdr:row>3</xdr:row>
      <xdr:rowOff>177799</xdr:rowOff>
    </xdr:from>
    <xdr:to>
      <xdr:col>20</xdr:col>
      <xdr:colOff>5977</xdr:colOff>
      <xdr:row>8</xdr:row>
      <xdr:rowOff>5975</xdr:rowOff>
    </xdr:to>
    <xdr:sp macro="" textlink="'Working Table'!$A$19">
      <xdr:nvSpPr>
        <xdr:cNvPr id="18" name="Rectangle: Rounded Corners 17">
          <a:extLst>
            <a:ext uri="{FF2B5EF4-FFF2-40B4-BE49-F238E27FC236}">
              <a16:creationId xmlns:a16="http://schemas.microsoft.com/office/drawing/2014/main" id="{315C8D41-03B3-46D5-83E1-24320E125307}"/>
            </a:ext>
          </a:extLst>
        </xdr:cNvPr>
        <xdr:cNvSpPr/>
      </xdr:nvSpPr>
      <xdr:spPr>
        <a:xfrm>
          <a:off x="9799918" y="738093"/>
          <a:ext cx="2457824" cy="762000"/>
        </a:xfrm>
        <a:prstGeom prst="roundRect">
          <a:avLst/>
        </a:prstGeom>
        <a:ln>
          <a:solidFill>
            <a:schemeClr val="accent5">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b"/>
        <a:lstStyle/>
        <a:p>
          <a:pPr algn="ctr"/>
          <a:fld id="{38BEBA5A-64A1-4E64-92A9-5CC10E891754}" type="TxLink">
            <a:rPr lang="en-US" sz="2000" b="0" i="0" u="none" strike="noStrike">
              <a:solidFill>
                <a:srgbClr val="000000"/>
              </a:solidFill>
              <a:latin typeface="Calibri"/>
              <a:ea typeface="Calibri"/>
              <a:cs typeface="Calibri"/>
            </a:rPr>
            <a:pPr algn="ctr"/>
            <a:t>$672.57</a:t>
          </a:fld>
          <a:endParaRPr lang="en-US" sz="6600"/>
        </a:p>
      </xdr:txBody>
    </xdr:sp>
    <xdr:clientData/>
  </xdr:twoCellAnchor>
  <xdr:twoCellAnchor>
    <xdr:from>
      <xdr:col>16</xdr:col>
      <xdr:colOff>57729</xdr:colOff>
      <xdr:row>4</xdr:row>
      <xdr:rowOff>46181</xdr:rowOff>
    </xdr:from>
    <xdr:to>
      <xdr:col>19</xdr:col>
      <xdr:colOff>530413</xdr:colOff>
      <xdr:row>5</xdr:row>
      <xdr:rowOff>150091</xdr:rowOff>
    </xdr:to>
    <xdr:sp macro="" textlink="">
      <xdr:nvSpPr>
        <xdr:cNvPr id="19" name="TextBox 18">
          <a:extLst>
            <a:ext uri="{FF2B5EF4-FFF2-40B4-BE49-F238E27FC236}">
              <a16:creationId xmlns:a16="http://schemas.microsoft.com/office/drawing/2014/main" id="{60FABBC8-0353-4685-A602-A67C32A86EBC}"/>
            </a:ext>
          </a:extLst>
        </xdr:cNvPr>
        <xdr:cNvSpPr txBox="1"/>
      </xdr:nvSpPr>
      <xdr:spPr>
        <a:xfrm>
          <a:off x="9848274" y="785090"/>
          <a:ext cx="2308412" cy="28863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solidFill>
                <a:srgbClr val="FF0000"/>
              </a:solidFill>
            </a:rPr>
            <a:t>Avg. Cost of Transportation</a:t>
          </a:r>
        </a:p>
      </xdr:txBody>
    </xdr:sp>
    <xdr:clientData/>
  </xdr:twoCellAnchor>
  <xdr:twoCellAnchor>
    <xdr:from>
      <xdr:col>0</xdr:col>
      <xdr:colOff>596046</xdr:colOff>
      <xdr:row>13</xdr:row>
      <xdr:rowOff>9072</xdr:rowOff>
    </xdr:from>
    <xdr:to>
      <xdr:col>9</xdr:col>
      <xdr:colOff>596047</xdr:colOff>
      <xdr:row>28</xdr:row>
      <xdr:rowOff>180895</xdr:rowOff>
    </xdr:to>
    <xdr:graphicFrame macro="">
      <xdr:nvGraphicFramePr>
        <xdr:cNvPr id="6" name="Chart 5">
          <a:extLst>
            <a:ext uri="{FF2B5EF4-FFF2-40B4-BE49-F238E27FC236}">
              <a16:creationId xmlns:a16="http://schemas.microsoft.com/office/drawing/2014/main" id="{6B1F0845-3BA2-431A-95CD-89F2A9B79F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605118</xdr:colOff>
      <xdr:row>12</xdr:row>
      <xdr:rowOff>178227</xdr:rowOff>
    </xdr:from>
    <xdr:to>
      <xdr:col>19</xdr:col>
      <xdr:colOff>605117</xdr:colOff>
      <xdr:row>29</xdr:row>
      <xdr:rowOff>4267</xdr:rowOff>
    </xdr:to>
    <xdr:graphicFrame macro="">
      <xdr:nvGraphicFramePr>
        <xdr:cNvPr id="7" name="Chart 6">
          <a:extLst>
            <a:ext uri="{FF2B5EF4-FFF2-40B4-BE49-F238E27FC236}">
              <a16:creationId xmlns:a16="http://schemas.microsoft.com/office/drawing/2014/main" id="{EDB64C51-6302-4658-8C3D-6DFE696A8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603517</xdr:colOff>
      <xdr:row>9</xdr:row>
      <xdr:rowOff>18143</xdr:rowOff>
    </xdr:from>
    <xdr:to>
      <xdr:col>19</xdr:col>
      <xdr:colOff>598981</xdr:colOff>
      <xdr:row>12</xdr:row>
      <xdr:rowOff>8538</xdr:rowOff>
    </xdr:to>
    <xdr:sp macro="" textlink="">
      <xdr:nvSpPr>
        <xdr:cNvPr id="9" name="TextBox 8">
          <a:extLst>
            <a:ext uri="{FF2B5EF4-FFF2-40B4-BE49-F238E27FC236}">
              <a16:creationId xmlns:a16="http://schemas.microsoft.com/office/drawing/2014/main" id="{83CCCB11-C538-4E0C-AEB1-64420768DCFE}"/>
            </a:ext>
          </a:extLst>
        </xdr:cNvPr>
        <xdr:cNvSpPr txBox="1"/>
      </xdr:nvSpPr>
      <xdr:spPr>
        <a:xfrm>
          <a:off x="603517" y="1651000"/>
          <a:ext cx="11543393" cy="534681"/>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dk1"/>
              </a:solidFill>
              <a:latin typeface="Aharoni" panose="020F0502020204030204" pitchFamily="2" charset="-79"/>
              <a:ea typeface="+mn-ea"/>
              <a:cs typeface="Aharoni" panose="020F0502020204030204" pitchFamily="2" charset="-79"/>
            </a:rPr>
            <a:t>Exploratory</a:t>
          </a:r>
          <a:r>
            <a:rPr lang="en-US" sz="2800" b="1" baseline="0">
              <a:solidFill>
                <a:schemeClr val="dk1"/>
              </a:solidFill>
              <a:latin typeface="Aharoni" panose="020F0502020204030204" pitchFamily="2" charset="-79"/>
              <a:ea typeface="+mn-ea"/>
              <a:cs typeface="Aharoni" panose="020F0502020204030204" pitchFamily="2" charset="-79"/>
            </a:rPr>
            <a:t> Analysis </a:t>
          </a:r>
          <a:r>
            <a:rPr lang="en-US" sz="2800" b="1">
              <a:solidFill>
                <a:srgbClr val="FF0000"/>
              </a:solidFill>
              <a:latin typeface="Aharoni" panose="020F0502020204030204" pitchFamily="2" charset="-79"/>
              <a:ea typeface="+mn-ea"/>
              <a:cs typeface="Aharoni" panose="020F0502020204030204" pitchFamily="2" charset="-79"/>
            </a:rPr>
            <a:t>Summary</a:t>
          </a:r>
          <a:endParaRPr lang="en-US" sz="2800" b="1">
            <a:solidFill>
              <a:srgbClr val="FF0000"/>
            </a:solidFill>
            <a:latin typeface="Aharoni" panose="020F0502020204030204" pitchFamily="2" charset="-79"/>
            <a:cs typeface="Aharoni" panose="020F0502020204030204" pitchFamily="2" charset="-79"/>
          </a:endParaRPr>
        </a:p>
      </xdr:txBody>
    </xdr:sp>
    <xdr:clientData/>
  </xdr:twoCellAnchor>
  <xdr:twoCellAnchor>
    <xdr:from>
      <xdr:col>0</xdr:col>
      <xdr:colOff>597889</xdr:colOff>
      <xdr:row>35</xdr:row>
      <xdr:rowOff>6598</xdr:rowOff>
    </xdr:from>
    <xdr:to>
      <xdr:col>19</xdr:col>
      <xdr:colOff>593354</xdr:colOff>
      <xdr:row>37</xdr:row>
      <xdr:rowOff>181721</xdr:rowOff>
    </xdr:to>
    <xdr:sp macro="" textlink="">
      <xdr:nvSpPr>
        <xdr:cNvPr id="12" name="TextBox 11">
          <a:extLst>
            <a:ext uri="{FF2B5EF4-FFF2-40B4-BE49-F238E27FC236}">
              <a16:creationId xmlns:a16="http://schemas.microsoft.com/office/drawing/2014/main" id="{6A39EA87-2E19-4AA6-92E0-743DE8D1D2DE}"/>
            </a:ext>
          </a:extLst>
        </xdr:cNvPr>
        <xdr:cNvSpPr txBox="1"/>
      </xdr:nvSpPr>
      <xdr:spPr>
        <a:xfrm>
          <a:off x="597889" y="6472053"/>
          <a:ext cx="11621738" cy="544577"/>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dk1"/>
              </a:solidFill>
              <a:latin typeface="Aharoni" panose="020F0502020204030204" pitchFamily="2" charset="-79"/>
              <a:ea typeface="+mn-ea"/>
              <a:cs typeface="Aharoni" panose="020F0502020204030204" pitchFamily="2" charset="-79"/>
            </a:rPr>
            <a:t>Segmentation</a:t>
          </a:r>
          <a:r>
            <a:rPr lang="en-US" sz="2800" b="1" baseline="0">
              <a:solidFill>
                <a:schemeClr val="dk1"/>
              </a:solidFill>
              <a:latin typeface="Aharoni" panose="020F0502020204030204" pitchFamily="2" charset="-79"/>
              <a:ea typeface="+mn-ea"/>
              <a:cs typeface="Aharoni" panose="020F0502020204030204" pitchFamily="2" charset="-79"/>
            </a:rPr>
            <a:t> </a:t>
          </a:r>
          <a:r>
            <a:rPr lang="en-US" sz="2800" b="1" baseline="0">
              <a:solidFill>
                <a:srgbClr val="FF0000"/>
              </a:solidFill>
              <a:latin typeface="Aharoni" panose="020F0502020204030204" pitchFamily="2" charset="-79"/>
              <a:ea typeface="+mn-ea"/>
              <a:cs typeface="Aharoni" panose="020F0502020204030204" pitchFamily="2" charset="-79"/>
            </a:rPr>
            <a:t>Analysis</a:t>
          </a:r>
          <a:endParaRPr lang="en-US" sz="2800" b="1">
            <a:solidFill>
              <a:srgbClr val="FF0000"/>
            </a:solidFill>
            <a:latin typeface="Aharoni" panose="020F0502020204030204" pitchFamily="2" charset="-79"/>
            <a:cs typeface="Aharoni" panose="020F0502020204030204" pitchFamily="2" charset="-79"/>
          </a:endParaRPr>
        </a:p>
      </xdr:txBody>
    </xdr:sp>
    <xdr:clientData/>
  </xdr:twoCellAnchor>
  <xdr:twoCellAnchor>
    <xdr:from>
      <xdr:col>0</xdr:col>
      <xdr:colOff>597888</xdr:colOff>
      <xdr:row>38</xdr:row>
      <xdr:rowOff>170707</xdr:rowOff>
    </xdr:from>
    <xdr:to>
      <xdr:col>19</xdr:col>
      <xdr:colOff>575623</xdr:colOff>
      <xdr:row>54</xdr:row>
      <xdr:rowOff>179778</xdr:rowOff>
    </xdr:to>
    <xdr:graphicFrame macro="">
      <xdr:nvGraphicFramePr>
        <xdr:cNvPr id="14" name="Chart 13">
          <a:extLst>
            <a:ext uri="{FF2B5EF4-FFF2-40B4-BE49-F238E27FC236}">
              <a16:creationId xmlns:a16="http://schemas.microsoft.com/office/drawing/2014/main" id="{B512CCCB-999E-4B6C-8F8E-7D27F5A91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618</xdr:colOff>
      <xdr:row>61</xdr:row>
      <xdr:rowOff>11546</xdr:rowOff>
    </xdr:from>
    <xdr:to>
      <xdr:col>19</xdr:col>
      <xdr:colOff>607992</xdr:colOff>
      <xdr:row>64</xdr:row>
      <xdr:rowOff>7714</xdr:rowOff>
    </xdr:to>
    <xdr:sp macro="" textlink="">
      <xdr:nvSpPr>
        <xdr:cNvPr id="21" name="TextBox 20">
          <a:extLst>
            <a:ext uri="{FF2B5EF4-FFF2-40B4-BE49-F238E27FC236}">
              <a16:creationId xmlns:a16="http://schemas.microsoft.com/office/drawing/2014/main" id="{F4E64FAB-7FA2-423D-8455-01F0EFA0F23A}"/>
            </a:ext>
          </a:extLst>
        </xdr:cNvPr>
        <xdr:cNvSpPr txBox="1"/>
      </xdr:nvSpPr>
      <xdr:spPr>
        <a:xfrm>
          <a:off x="612527" y="11279910"/>
          <a:ext cx="11621738" cy="55034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chemeClr val="dk1"/>
              </a:solidFill>
              <a:latin typeface="Aharoni" panose="020F0502020204030204" pitchFamily="2" charset="-79"/>
              <a:ea typeface="+mn-ea"/>
              <a:cs typeface="Aharoni" panose="020F0502020204030204" pitchFamily="2" charset="-79"/>
            </a:rPr>
            <a:t>Cost</a:t>
          </a:r>
          <a:r>
            <a:rPr lang="en-US" sz="2800" b="1" baseline="0">
              <a:solidFill>
                <a:schemeClr val="dk1"/>
              </a:solidFill>
              <a:latin typeface="Aharoni" panose="020F0502020204030204" pitchFamily="2" charset="-79"/>
              <a:ea typeface="+mn-ea"/>
              <a:cs typeface="Aharoni" panose="020F0502020204030204" pitchFamily="2" charset="-79"/>
            </a:rPr>
            <a:t> </a:t>
          </a:r>
          <a:r>
            <a:rPr lang="en-US" sz="2800" b="1" baseline="0">
              <a:solidFill>
                <a:srgbClr val="FF0000"/>
              </a:solidFill>
              <a:latin typeface="Aharoni" panose="020F0502020204030204" pitchFamily="2" charset="-79"/>
              <a:ea typeface="+mn-ea"/>
              <a:cs typeface="Aharoni" panose="020F0502020204030204" pitchFamily="2" charset="-79"/>
            </a:rPr>
            <a:t>Analysis</a:t>
          </a:r>
          <a:endParaRPr lang="en-US" sz="2800" b="1">
            <a:solidFill>
              <a:srgbClr val="FF0000"/>
            </a:solidFill>
            <a:latin typeface="Aharoni" panose="020F0502020204030204" pitchFamily="2" charset="-79"/>
            <a:cs typeface="Aharoni" panose="020F0502020204030204" pitchFamily="2" charset="-79"/>
          </a:endParaRPr>
        </a:p>
      </xdr:txBody>
    </xdr:sp>
    <xdr:clientData/>
  </xdr:twoCellAnchor>
  <xdr:twoCellAnchor>
    <xdr:from>
      <xdr:col>0</xdr:col>
      <xdr:colOff>587375</xdr:colOff>
      <xdr:row>64</xdr:row>
      <xdr:rowOff>170297</xdr:rowOff>
    </xdr:from>
    <xdr:to>
      <xdr:col>10</xdr:col>
      <xdr:colOff>15875</xdr:colOff>
      <xdr:row>80</xdr:row>
      <xdr:rowOff>154421</xdr:rowOff>
    </xdr:to>
    <xdr:graphicFrame macro="">
      <xdr:nvGraphicFramePr>
        <xdr:cNvPr id="22" name="Chart 21">
          <a:extLst>
            <a:ext uri="{FF2B5EF4-FFF2-40B4-BE49-F238E27FC236}">
              <a16:creationId xmlns:a16="http://schemas.microsoft.com/office/drawing/2014/main" id="{47F49D37-A3AD-4938-A6F4-D3D2CDD7F3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23092</xdr:colOff>
      <xdr:row>65</xdr:row>
      <xdr:rowOff>1443</xdr:rowOff>
    </xdr:from>
    <xdr:to>
      <xdr:col>20</xdr:col>
      <xdr:colOff>23092</xdr:colOff>
      <xdr:row>80</xdr:row>
      <xdr:rowOff>163946</xdr:rowOff>
    </xdr:to>
    <xdr:graphicFrame macro="">
      <xdr:nvGraphicFramePr>
        <xdr:cNvPr id="23" name="Chart 22">
          <a:extLst>
            <a:ext uri="{FF2B5EF4-FFF2-40B4-BE49-F238E27FC236}">
              <a16:creationId xmlns:a16="http://schemas.microsoft.com/office/drawing/2014/main" id="{967FC521-01CD-4709-8C20-9F8A936F66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144319</xdr:colOff>
      <xdr:row>87</xdr:row>
      <xdr:rowOff>8659</xdr:rowOff>
    </xdr:from>
    <xdr:to>
      <xdr:col>15</xdr:col>
      <xdr:colOff>306740</xdr:colOff>
      <xdr:row>104</xdr:row>
      <xdr:rowOff>3669</xdr:rowOff>
    </xdr:to>
    <xdr:graphicFrame macro="">
      <xdr:nvGraphicFramePr>
        <xdr:cNvPr id="24" name="Chart 23">
          <a:extLst>
            <a:ext uri="{FF2B5EF4-FFF2-40B4-BE49-F238E27FC236}">
              <a16:creationId xmlns:a16="http://schemas.microsoft.com/office/drawing/2014/main" id="{2021BC70-464A-4B4B-9D56-FE74185B51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30</xdr:row>
      <xdr:rowOff>23091</xdr:rowOff>
    </xdr:from>
    <xdr:to>
      <xdr:col>10</xdr:col>
      <xdr:colOff>11545</xdr:colOff>
      <xdr:row>33</xdr:row>
      <xdr:rowOff>161636</xdr:rowOff>
    </xdr:to>
    <xdr:sp macro="" textlink="">
      <xdr:nvSpPr>
        <xdr:cNvPr id="25" name="TextBox 24">
          <a:extLst>
            <a:ext uri="{FF2B5EF4-FFF2-40B4-BE49-F238E27FC236}">
              <a16:creationId xmlns:a16="http://schemas.microsoft.com/office/drawing/2014/main" id="{05EF680D-B56F-56F0-FD72-8F6ADC55CE3F}"/>
            </a:ext>
          </a:extLst>
        </xdr:cNvPr>
        <xdr:cNvSpPr txBox="1"/>
      </xdr:nvSpPr>
      <xdr:spPr>
        <a:xfrm>
          <a:off x="611909" y="5564909"/>
          <a:ext cx="5518727" cy="692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dk1"/>
              </a:solidFill>
              <a:effectLst/>
              <a:latin typeface="+mn-lt"/>
              <a:ea typeface="+mn-ea"/>
              <a:cs typeface="+mn-cs"/>
            </a:rPr>
            <a:t>Paris stands out as the top destination in this dataset.</a:t>
          </a:r>
          <a:endParaRPr lang="en-US" sz="1400"/>
        </a:p>
      </xdr:txBody>
    </xdr:sp>
    <xdr:clientData/>
  </xdr:twoCellAnchor>
  <xdr:twoCellAnchor>
    <xdr:from>
      <xdr:col>10</xdr:col>
      <xdr:colOff>591127</xdr:colOff>
      <xdr:row>30</xdr:row>
      <xdr:rowOff>2309</xdr:rowOff>
    </xdr:from>
    <xdr:to>
      <xdr:col>19</xdr:col>
      <xdr:colOff>602672</xdr:colOff>
      <xdr:row>34</xdr:row>
      <xdr:rowOff>11546</xdr:rowOff>
    </xdr:to>
    <xdr:sp macro="" textlink="">
      <xdr:nvSpPr>
        <xdr:cNvPr id="26" name="TextBox 25">
          <a:extLst>
            <a:ext uri="{FF2B5EF4-FFF2-40B4-BE49-F238E27FC236}">
              <a16:creationId xmlns:a16="http://schemas.microsoft.com/office/drawing/2014/main" id="{FCC463E9-0C54-4238-AB10-3D4B6EDA66D2}"/>
            </a:ext>
          </a:extLst>
        </xdr:cNvPr>
        <xdr:cNvSpPr txBox="1"/>
      </xdr:nvSpPr>
      <xdr:spPr>
        <a:xfrm>
          <a:off x="6710218" y="5544127"/>
          <a:ext cx="5518727" cy="748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dk1"/>
              </a:solidFill>
              <a:effectLst/>
              <a:latin typeface="+mn-lt"/>
              <a:ea typeface="+mn-ea"/>
              <a:cs typeface="+mn-cs"/>
            </a:rPr>
            <a:t>Travelling by flight is the most used transportation compare to other types with 75 trips in total.</a:t>
          </a:r>
        </a:p>
      </xdr:txBody>
    </xdr:sp>
    <xdr:clientData/>
  </xdr:twoCellAnchor>
  <xdr:twoCellAnchor>
    <xdr:from>
      <xdr:col>1</xdr:col>
      <xdr:colOff>4619</xdr:colOff>
      <xdr:row>55</xdr:row>
      <xdr:rowOff>154709</xdr:rowOff>
    </xdr:from>
    <xdr:to>
      <xdr:col>19</xdr:col>
      <xdr:colOff>577272</xdr:colOff>
      <xdr:row>59</xdr:row>
      <xdr:rowOff>163946</xdr:rowOff>
    </xdr:to>
    <xdr:sp macro="" textlink="">
      <xdr:nvSpPr>
        <xdr:cNvPr id="27" name="TextBox 26">
          <a:extLst>
            <a:ext uri="{FF2B5EF4-FFF2-40B4-BE49-F238E27FC236}">
              <a16:creationId xmlns:a16="http://schemas.microsoft.com/office/drawing/2014/main" id="{B22FFE53-7357-4EF3-BFE1-7A190F366C3A}"/>
            </a:ext>
          </a:extLst>
        </xdr:cNvPr>
        <xdr:cNvSpPr txBox="1"/>
      </xdr:nvSpPr>
      <xdr:spPr>
        <a:xfrm>
          <a:off x="616528" y="10314709"/>
          <a:ext cx="11587017" cy="748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i="0">
              <a:solidFill>
                <a:schemeClr val="dk1"/>
              </a:solidFill>
              <a:effectLst/>
              <a:latin typeface="+mn-lt"/>
              <a:ea typeface="+mn-ea"/>
              <a:cs typeface="+mn-cs"/>
            </a:rPr>
            <a:t>- Paris is the most popular destination for 30-40 age group, with an equal split male and female.</a:t>
          </a:r>
        </a:p>
        <a:p>
          <a:pPr algn="ctr"/>
          <a:r>
            <a:rPr lang="en-US" sz="1100" b="0" i="0">
              <a:solidFill>
                <a:schemeClr val="dk1"/>
              </a:solidFill>
              <a:effectLst/>
              <a:latin typeface="+mn-lt"/>
              <a:ea typeface="+mn-ea"/>
              <a:cs typeface="+mn-cs"/>
            </a:rPr>
            <a:t>- Tokyo attracts more young female travellers.</a:t>
          </a:r>
        </a:p>
        <a:p>
          <a:pPr algn="ctr"/>
          <a:r>
            <a:rPr lang="en-US" sz="1100" b="0" i="0">
              <a:solidFill>
                <a:schemeClr val="dk1"/>
              </a:solidFill>
              <a:effectLst/>
              <a:latin typeface="+mn-lt"/>
              <a:ea typeface="+mn-ea"/>
              <a:cs typeface="+mn-cs"/>
            </a:rPr>
            <a:t>- Female with over 40 do not really travel to top destination.</a:t>
          </a:r>
        </a:p>
      </xdr:txBody>
    </xdr:sp>
    <xdr:clientData/>
  </xdr:twoCellAnchor>
  <xdr:twoCellAnchor>
    <xdr:from>
      <xdr:col>0</xdr:col>
      <xdr:colOff>602673</xdr:colOff>
      <xdr:row>82</xdr:row>
      <xdr:rowOff>2309</xdr:rowOff>
    </xdr:from>
    <xdr:to>
      <xdr:col>10</xdr:col>
      <xdr:colOff>2309</xdr:colOff>
      <xdr:row>85</xdr:row>
      <xdr:rowOff>140854</xdr:rowOff>
    </xdr:to>
    <xdr:sp macro="" textlink="">
      <xdr:nvSpPr>
        <xdr:cNvPr id="28" name="TextBox 27">
          <a:extLst>
            <a:ext uri="{FF2B5EF4-FFF2-40B4-BE49-F238E27FC236}">
              <a16:creationId xmlns:a16="http://schemas.microsoft.com/office/drawing/2014/main" id="{6CEC48EE-7059-466E-A5EC-9C08A456FFE8}"/>
            </a:ext>
          </a:extLst>
        </xdr:cNvPr>
        <xdr:cNvSpPr txBox="1"/>
      </xdr:nvSpPr>
      <xdr:spPr>
        <a:xfrm>
          <a:off x="602673" y="15149945"/>
          <a:ext cx="5518727" cy="692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dk1"/>
              </a:solidFill>
              <a:effectLst/>
              <a:latin typeface="+mn-lt"/>
              <a:ea typeface="+mn-ea"/>
              <a:cs typeface="+mn-cs"/>
            </a:rPr>
            <a:t>Guesthouse is the cheapest accomodation option for all travellers whilst resort would cost the most, followed closely by hotel and villa.</a:t>
          </a:r>
        </a:p>
        <a:p>
          <a:br>
            <a:rPr lang="en-US" sz="1100" b="0" i="0">
              <a:solidFill>
                <a:schemeClr val="dk1"/>
              </a:solidFill>
              <a:effectLst/>
              <a:latin typeface="+mn-lt"/>
              <a:ea typeface="+mn-ea"/>
              <a:cs typeface="+mn-cs"/>
            </a:rPr>
          </a:br>
          <a:endParaRPr lang="en-US" sz="1400"/>
        </a:p>
      </xdr:txBody>
    </xdr:sp>
    <xdr:clientData/>
  </xdr:twoCellAnchor>
  <xdr:twoCellAnchor>
    <xdr:from>
      <xdr:col>11</xdr:col>
      <xdr:colOff>4619</xdr:colOff>
      <xdr:row>82</xdr:row>
      <xdr:rowOff>4618</xdr:rowOff>
    </xdr:from>
    <xdr:to>
      <xdr:col>20</xdr:col>
      <xdr:colOff>16164</xdr:colOff>
      <xdr:row>85</xdr:row>
      <xdr:rowOff>143163</xdr:rowOff>
    </xdr:to>
    <xdr:sp macro="" textlink="">
      <xdr:nvSpPr>
        <xdr:cNvPr id="29" name="TextBox 28">
          <a:extLst>
            <a:ext uri="{FF2B5EF4-FFF2-40B4-BE49-F238E27FC236}">
              <a16:creationId xmlns:a16="http://schemas.microsoft.com/office/drawing/2014/main" id="{2914A363-F857-4C98-AEC7-42FD92DB9B43}"/>
            </a:ext>
          </a:extLst>
        </xdr:cNvPr>
        <xdr:cNvSpPr txBox="1"/>
      </xdr:nvSpPr>
      <xdr:spPr>
        <a:xfrm>
          <a:off x="6735619" y="15152254"/>
          <a:ext cx="5518727" cy="69272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dk1"/>
              </a:solidFill>
              <a:effectLst/>
              <a:latin typeface="+mn-lt"/>
              <a:ea typeface="+mn-ea"/>
              <a:cs typeface="+mn-cs"/>
            </a:rPr>
            <a:t>Flight is the most expensive transportation option for travelers, with car travel as the second most costly.</a:t>
          </a:r>
          <a:br>
            <a:rPr lang="en-US" sz="1100" b="0" i="0">
              <a:solidFill>
                <a:schemeClr val="dk1"/>
              </a:solidFill>
              <a:effectLst/>
              <a:latin typeface="+mn-lt"/>
              <a:ea typeface="+mn-ea"/>
              <a:cs typeface="+mn-cs"/>
            </a:rPr>
          </a:br>
          <a:br>
            <a:rPr lang="en-US" sz="1100" b="0" i="0">
              <a:solidFill>
                <a:schemeClr val="dk1"/>
              </a:solidFill>
              <a:effectLst/>
              <a:latin typeface="+mn-lt"/>
              <a:ea typeface="+mn-ea"/>
              <a:cs typeface="+mn-cs"/>
            </a:rPr>
          </a:br>
          <a:endParaRPr lang="en-US" sz="1400"/>
        </a:p>
      </xdr:txBody>
    </xdr:sp>
    <xdr:clientData/>
  </xdr:twoCellAnchor>
  <xdr:twoCellAnchor>
    <xdr:from>
      <xdr:col>5</xdr:col>
      <xdr:colOff>157019</xdr:colOff>
      <xdr:row>104</xdr:row>
      <xdr:rowOff>133927</xdr:rowOff>
    </xdr:from>
    <xdr:to>
      <xdr:col>15</xdr:col>
      <xdr:colOff>334819</xdr:colOff>
      <xdr:row>109</xdr:row>
      <xdr:rowOff>57727</xdr:rowOff>
    </xdr:to>
    <xdr:sp macro="" textlink="">
      <xdr:nvSpPr>
        <xdr:cNvPr id="30" name="TextBox 29">
          <a:extLst>
            <a:ext uri="{FF2B5EF4-FFF2-40B4-BE49-F238E27FC236}">
              <a16:creationId xmlns:a16="http://schemas.microsoft.com/office/drawing/2014/main" id="{5A188F5D-8C9D-4A4F-A0A4-1870EA28FA9E}"/>
            </a:ext>
          </a:extLst>
        </xdr:cNvPr>
        <xdr:cNvSpPr txBox="1"/>
      </xdr:nvSpPr>
      <xdr:spPr>
        <a:xfrm>
          <a:off x="3216564" y="19345563"/>
          <a:ext cx="6296891" cy="8474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0" i="0">
              <a:solidFill>
                <a:schemeClr val="dk1"/>
              </a:solidFill>
              <a:effectLst/>
              <a:latin typeface="+mn-lt"/>
              <a:ea typeface="+mn-ea"/>
              <a:cs typeface="+mn-cs"/>
            </a:rPr>
            <a:t>There is a weak positive relationship: destinations that cost more for accommodation often also cost more for transportation, but this pattern is not very strong.</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12</xdr:row>
      <xdr:rowOff>1</xdr:rowOff>
    </xdr:from>
    <xdr:to>
      <xdr:col>12</xdr:col>
      <xdr:colOff>457200</xdr:colOff>
      <xdr:row>29</xdr:row>
      <xdr:rowOff>114301</xdr:rowOff>
    </xdr:to>
    <xdr:graphicFrame macro="">
      <xdr:nvGraphicFramePr>
        <xdr:cNvPr id="16" name="Chart 15">
          <a:extLst>
            <a:ext uri="{FF2B5EF4-FFF2-40B4-BE49-F238E27FC236}">
              <a16:creationId xmlns:a16="http://schemas.microsoft.com/office/drawing/2014/main" id="{50341110-CEBB-DF3B-DD80-1C175F544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112031</xdr:colOff>
      <xdr:row>30</xdr:row>
      <xdr:rowOff>72117</xdr:rowOff>
    </xdr:from>
    <xdr:to>
      <xdr:col>11</xdr:col>
      <xdr:colOff>1722663</xdr:colOff>
      <xdr:row>46</xdr:row>
      <xdr:rowOff>94342</xdr:rowOff>
    </xdr:to>
    <xdr:graphicFrame macro="">
      <xdr:nvGraphicFramePr>
        <xdr:cNvPr id="2" name="Chart 1">
          <a:extLst>
            <a:ext uri="{FF2B5EF4-FFF2-40B4-BE49-F238E27FC236}">
              <a16:creationId xmlns:a16="http://schemas.microsoft.com/office/drawing/2014/main" id="{60C16DA7-7263-CBCE-1B89-2ACB942A2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517525</xdr:colOff>
      <xdr:row>71</xdr:row>
      <xdr:rowOff>22224</xdr:rowOff>
    </xdr:from>
    <xdr:to>
      <xdr:col>12</xdr:col>
      <xdr:colOff>644071</xdr:colOff>
      <xdr:row>83</xdr:row>
      <xdr:rowOff>136072</xdr:rowOff>
    </xdr:to>
    <xdr:graphicFrame macro="">
      <xdr:nvGraphicFramePr>
        <xdr:cNvPr id="4" name="Chart 3">
          <a:extLst>
            <a:ext uri="{FF2B5EF4-FFF2-40B4-BE49-F238E27FC236}">
              <a16:creationId xmlns:a16="http://schemas.microsoft.com/office/drawing/2014/main" id="{F0A07C03-5FB8-2D61-B0DA-CE618F375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581480</xdr:colOff>
      <xdr:row>80</xdr:row>
      <xdr:rowOff>118381</xdr:rowOff>
    </xdr:from>
    <xdr:to>
      <xdr:col>13</xdr:col>
      <xdr:colOff>879929</xdr:colOff>
      <xdr:row>94</xdr:row>
      <xdr:rowOff>145142</xdr:rowOff>
    </xdr:to>
    <xdr:graphicFrame macro="">
      <xdr:nvGraphicFramePr>
        <xdr:cNvPr id="3" name="Chart 2">
          <a:extLst>
            <a:ext uri="{FF2B5EF4-FFF2-40B4-BE49-F238E27FC236}">
              <a16:creationId xmlns:a16="http://schemas.microsoft.com/office/drawing/2014/main" id="{DA756DD4-A777-727A-B938-1837BFE19F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355600</xdr:colOff>
      <xdr:row>95</xdr:row>
      <xdr:rowOff>22224</xdr:rowOff>
    </xdr:from>
    <xdr:to>
      <xdr:col>11</xdr:col>
      <xdr:colOff>435428</xdr:colOff>
      <xdr:row>111</xdr:row>
      <xdr:rowOff>145143</xdr:rowOff>
    </xdr:to>
    <xdr:graphicFrame macro="">
      <xdr:nvGraphicFramePr>
        <xdr:cNvPr id="5" name="Chart 4">
          <a:extLst>
            <a:ext uri="{FF2B5EF4-FFF2-40B4-BE49-F238E27FC236}">
              <a16:creationId xmlns:a16="http://schemas.microsoft.com/office/drawing/2014/main" id="{E6DDABBE-ADB8-0CB8-CDE1-4897AB057C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592816</xdr:colOff>
      <xdr:row>114</xdr:row>
      <xdr:rowOff>130174</xdr:rowOff>
    </xdr:from>
    <xdr:to>
      <xdr:col>13</xdr:col>
      <xdr:colOff>973363</xdr:colOff>
      <xdr:row>132</xdr:row>
      <xdr:rowOff>97970</xdr:rowOff>
    </xdr:to>
    <xdr:graphicFrame macro="">
      <xdr:nvGraphicFramePr>
        <xdr:cNvPr id="18" name="Chart 17">
          <a:extLst>
            <a:ext uri="{FF2B5EF4-FFF2-40B4-BE49-F238E27FC236}">
              <a16:creationId xmlns:a16="http://schemas.microsoft.com/office/drawing/2014/main" id="{EA92FFFB-664A-50FC-550A-1E327B87B1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Travel%20details%20dataset%20(post%20analysis).csv"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7.095998032404" createdVersion="8" refreshedVersion="8" minRefreshableVersion="3" recordCount="140" xr:uid="{00000000-000A-0000-FFFF-FFFF3E000000}">
  <cacheSource type="worksheet">
    <worksheetSource ref="A1:N1048576" sheet="Travel details dataset (post an" r:id="rId2"/>
  </cacheSource>
  <cacheFields count="14">
    <cacheField name="Trip ID" numFmtId="0">
      <sharedItems containsString="0" containsBlank="1" containsNumber="1" containsInteger="1" minValue="1" maxValue="139"/>
    </cacheField>
    <cacheField name="Destination" numFmtId="0">
      <sharedItems containsBlank="1" count="40">
        <s v="London"/>
        <s v="Phuket"/>
        <s v="Bali"/>
        <s v="New York City"/>
        <s v="Tokyo"/>
        <s v="Paris"/>
        <s v="Sydney"/>
        <s v="Rio de Janeiro"/>
        <s v="Amsterdam"/>
        <s v="Dubai"/>
        <s v="Cancún"/>
        <s v="Barcelona"/>
        <s v="Honolulu"/>
        <s v="Berlin"/>
        <s v="Marrakesh"/>
        <s v="Edinburgh"/>
        <s v="Rome"/>
        <s v="Bangkok"/>
        <s v="Hawaii"/>
        <s v="Japan"/>
        <s v="Thailand"/>
        <s v="France"/>
        <s v="Australia"/>
        <s v="Brazil"/>
        <s v="Greece"/>
        <s v="Egypt"/>
        <s v="Mexico"/>
        <s v="Italy"/>
        <s v="Spain"/>
        <s v="Canada"/>
        <s v="Vancouver"/>
        <s v="Seoul"/>
        <s v="Los Angeles"/>
        <s v="Cape Town"/>
        <s v="N/A"/>
        <s v="Santorini"/>
        <s v="Phnom Penh"/>
        <s v="Athens"/>
        <s v="Auckland"/>
        <m/>
      </sharedItems>
    </cacheField>
    <cacheField name="Start date" numFmtId="14">
      <sharedItems containsDate="1" containsBlank="1" containsMixedTypes="1" minDate="2021-06-15T00:00:00" maxDate="2025-05-22T00:00:00"/>
    </cacheField>
    <cacheField name="End date" numFmtId="14">
      <sharedItems containsDate="1" containsBlank="1" containsMixedTypes="1" minDate="2021-06-20T00:00:00" maxDate="2025-05-30T00:00:00"/>
    </cacheField>
    <cacheField name="Duration (days)" numFmtId="0">
      <sharedItems containsBlank="1" containsMixedTypes="1" containsNumber="1" containsInteger="1" minValue="5" maxValue="14"/>
    </cacheField>
    <cacheField name="Traveler name" numFmtId="0">
      <sharedItems containsBlank="1"/>
    </cacheField>
    <cacheField name="Traveler age" numFmtId="0">
      <sharedItems containsBlank="1" containsMixedTypes="1" containsNumber="1" containsInteger="1" minValue="20" maxValue="60"/>
    </cacheField>
    <cacheField name="Traveler Age Group" numFmtId="0">
      <sharedItems containsBlank="1" count="4">
        <s v="30-40"/>
        <s v="Under 30"/>
        <s v="Over 40"/>
        <m/>
      </sharedItems>
    </cacheField>
    <cacheField name="Traveler gender" numFmtId="0">
      <sharedItems containsBlank="1" count="4">
        <s v="Male"/>
        <s v="Female"/>
        <s v="N/A"/>
        <m/>
      </sharedItems>
    </cacheField>
    <cacheField name="Traveler nationality" numFmtId="0">
      <sharedItems containsBlank="1"/>
    </cacheField>
    <cacheField name="Accommodation type" numFmtId="0">
      <sharedItems containsBlank="1" count="10">
        <s v="Hotel"/>
        <s v="Resort"/>
        <s v="Villa"/>
        <s v="Airbnb"/>
        <s v="Hostel"/>
        <s v="Riad"/>
        <s v="Vacation rental"/>
        <s v="N/A"/>
        <s v="Guesthouse"/>
        <m/>
      </sharedItems>
    </cacheField>
    <cacheField name="Accommodation cost" numFmtId="164">
      <sharedItems containsBlank="1" containsMixedTypes="1" containsNumber="1" containsInteger="1" minValue="100" maxValue="8000"/>
    </cacheField>
    <cacheField name="Transportation type" numFmtId="0">
      <sharedItems containsBlank="1" count="11">
        <s v="Flight"/>
        <s v="Train"/>
        <s v="Plane"/>
        <s v="Bus"/>
        <s v="Car rental"/>
        <s v="Subway"/>
        <s v="N/A"/>
        <s v="Car"/>
        <s v="Ferry"/>
        <s v="Airplane"/>
        <m/>
      </sharedItems>
    </cacheField>
    <cacheField name="Transportation cost" numFmtId="164">
      <sharedItems containsBlank="1" containsMixedTypes="1" containsNumber="1" containsInteger="1" minValue="20" maxValue="3000"/>
    </cacheField>
  </cacheFields>
  <extLst>
    <ext xmlns:x14="http://schemas.microsoft.com/office/spreadsheetml/2009/9/main" uri="{725AE2AE-9491-48be-B2B4-4EB974FC3084}">
      <x14:pivotCacheDefinition pivotCacheId="22688676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08.002966666667" createdVersion="8" refreshedVersion="8" minRefreshableVersion="3" recordCount="140" xr:uid="{77A939C8-D362-48F7-8744-C5B90BE4A96A}">
  <cacheSource type="worksheet">
    <worksheetSource ref="A1:N1048576" sheet="Travel details dataset (post an"/>
  </cacheSource>
  <cacheFields count="14">
    <cacheField name="Trip ID" numFmtId="0">
      <sharedItems containsString="0" containsBlank="1" containsNumber="1" containsInteger="1" minValue="1" maxValue="139"/>
    </cacheField>
    <cacheField name="Destination" numFmtId="0">
      <sharedItems containsBlank="1"/>
    </cacheField>
    <cacheField name="Start date" numFmtId="14">
      <sharedItems containsDate="1" containsBlank="1" containsMixedTypes="1" minDate="2021-06-15T00:00:00" maxDate="2025-05-22T00:00:00"/>
    </cacheField>
    <cacheField name="End date" numFmtId="14">
      <sharedItems containsDate="1" containsBlank="1" containsMixedTypes="1" minDate="2021-06-20T00:00:00" maxDate="2025-05-30T00:00:00"/>
    </cacheField>
    <cacheField name="Duration (days)" numFmtId="0">
      <sharedItems containsBlank="1" containsMixedTypes="1" containsNumber="1" containsInteger="1" minValue="5" maxValue="14"/>
    </cacheField>
    <cacheField name="Traveler name" numFmtId="0">
      <sharedItems containsBlank="1"/>
    </cacheField>
    <cacheField name="Traveler age" numFmtId="0">
      <sharedItems containsBlank="1" containsMixedTypes="1" containsNumber="1" containsInteger="1" minValue="20" maxValue="60"/>
    </cacheField>
    <cacheField name="Traveler Age Group" numFmtId="0">
      <sharedItems containsBlank="1"/>
    </cacheField>
    <cacheField name="Traveler gender" numFmtId="0">
      <sharedItems containsBlank="1"/>
    </cacheField>
    <cacheField name="Traveler nationality" numFmtId="0">
      <sharedItems containsBlank="1"/>
    </cacheField>
    <cacheField name="Accommodation type" numFmtId="0">
      <sharedItems containsBlank="1" count="10">
        <s v="Hotel"/>
        <s v="Resort"/>
        <s v="Villa"/>
        <s v="Airbnb"/>
        <s v="Hostel"/>
        <s v="Riad"/>
        <s v="Vacation rental"/>
        <s v="N/A"/>
        <s v="Guesthouse"/>
        <m/>
      </sharedItems>
    </cacheField>
    <cacheField name="Accommodation cost" numFmtId="164">
      <sharedItems containsBlank="1" containsMixedTypes="1" containsNumber="1" containsInteger="1" minValue="100" maxValue="8000"/>
    </cacheField>
    <cacheField name="Transportation type" numFmtId="0">
      <sharedItems containsBlank="1" count="8">
        <s v="Flight"/>
        <s v="Train"/>
        <s v="Bus"/>
        <s v="Car"/>
        <s v="Subway"/>
        <s v="N/A"/>
        <s v="Ferry"/>
        <m/>
      </sharedItems>
    </cacheField>
    <cacheField name="Transportation cost" numFmtId="164">
      <sharedItems containsBlank="1" containsMixedTypes="1" containsNumber="1" containsInteger="1" minValue="20" maxValue="3000"/>
    </cacheField>
  </cacheFields>
  <extLst>
    <ext xmlns:x14="http://schemas.microsoft.com/office/spreadsheetml/2009/9/main" uri="{725AE2AE-9491-48be-B2B4-4EB974FC3084}">
      <x14:pivotCacheDefinition pivotCacheId="98980313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31.762907986114" createdVersion="8" refreshedVersion="8" minRefreshableVersion="3" recordCount="140" xr:uid="{387D9116-3DEF-4209-B3D9-FE6FA8D1E01D}">
  <cacheSource type="worksheet">
    <worksheetSource ref="A1:O1048576" sheet="Travel details dataset (post an"/>
  </cacheSource>
  <cacheFields count="15">
    <cacheField name="Trip ID" numFmtId="0">
      <sharedItems containsString="0" containsBlank="1" containsNumber="1" containsInteger="1" minValue="1" maxValue="139"/>
    </cacheField>
    <cacheField name="Destination" numFmtId="0">
      <sharedItems containsBlank="1" count="40">
        <s v="London"/>
        <s v="Phuket"/>
        <s v="Bali"/>
        <s v="New York City"/>
        <s v="Tokyo"/>
        <s v="Paris"/>
        <s v="Sydney"/>
        <s v="Rio de Janeiro"/>
        <s v="Amsterdam"/>
        <s v="Dubai"/>
        <s v="Cancún"/>
        <s v="Barcelona"/>
        <s v="Honolulu"/>
        <s v="Berlin"/>
        <s v="Marrakesh"/>
        <s v="Edinburgh"/>
        <s v="Rome"/>
        <s v="Bangkok"/>
        <s v="Hawaii"/>
        <s v="Japan"/>
        <s v="Thailand"/>
        <s v="France"/>
        <s v="Australia"/>
        <s v="Brazil"/>
        <s v="Greece"/>
        <s v="Egypt"/>
        <s v="Mexico"/>
        <s v="Italy"/>
        <s v="Spain"/>
        <s v="Canada"/>
        <s v="Vancouver"/>
        <s v="Seoul"/>
        <s v="Los Angeles"/>
        <s v="Cape Town"/>
        <s v="N/A"/>
        <s v="Santorini"/>
        <s v="Phnom Penh"/>
        <s v="Athens"/>
        <s v="Auckland"/>
        <m/>
      </sharedItems>
    </cacheField>
    <cacheField name="Start date" numFmtId="14">
      <sharedItems containsDate="1" containsBlank="1" containsMixedTypes="1" minDate="2021-06-15T00:00:00" maxDate="2025-05-22T00:00:00"/>
    </cacheField>
    <cacheField name="End date" numFmtId="14">
      <sharedItems containsDate="1" containsBlank="1" containsMixedTypes="1" minDate="2021-06-20T00:00:00" maxDate="2025-05-30T00:00:00"/>
    </cacheField>
    <cacheField name="Duration (days)" numFmtId="0">
      <sharedItems containsBlank="1" containsMixedTypes="1" containsNumber="1" containsInteger="1" minValue="5" maxValue="14"/>
    </cacheField>
    <cacheField name="Traveler name" numFmtId="0">
      <sharedItems containsBlank="1"/>
    </cacheField>
    <cacheField name="Traveler age" numFmtId="0">
      <sharedItems containsBlank="1" containsMixedTypes="1" containsNumber="1" containsInteger="1" minValue="20" maxValue="60"/>
    </cacheField>
    <cacheField name="Traveler Age Group" numFmtId="0">
      <sharedItems containsBlank="1"/>
    </cacheField>
    <cacheField name="Traveler gender" numFmtId="0">
      <sharedItems containsBlank="1"/>
    </cacheField>
    <cacheField name="Traveler nationality" numFmtId="0">
      <sharedItems containsBlank="1"/>
    </cacheField>
    <cacheField name="Accommodation type" numFmtId="0">
      <sharedItems containsBlank="1"/>
    </cacheField>
    <cacheField name="Accommodation cost" numFmtId="164">
      <sharedItems containsBlank="1" containsMixedTypes="1" containsNumber="1" containsInteger="1" minValue="100" maxValue="8000"/>
    </cacheField>
    <cacheField name="Transportation type" numFmtId="0">
      <sharedItems containsBlank="1"/>
    </cacheField>
    <cacheField name="Transportation cost" numFmtId="164">
      <sharedItems containsBlank="1" containsMixedTypes="1" containsNumber="1" containsInteger="1" minValue="20" maxValue="3000"/>
    </cacheField>
    <cacheField name="Total Cost" numFmtId="164">
      <sharedItems containsString="0" containsBlank="1" containsNumber="1" containsInteger="1" minValue="0" maxValue="10500"/>
    </cacheField>
  </cacheFields>
  <extLst>
    <ext xmlns:x14="http://schemas.microsoft.com/office/spreadsheetml/2009/9/main" uri="{725AE2AE-9491-48be-B2B4-4EB974FC3084}">
      <x14:pivotCacheDefinition pivotCacheId="1918902119"/>
    </ext>
  </extLst>
</pivotCacheDefinition>
</file>

<file path=xl/pivotCache/pivotCacheRecords1.xml><?xml version="1.0" encoding="utf-8"?>
<pivotCacheRecords xmlns="http://schemas.openxmlformats.org/spreadsheetml/2006/main" xmlns:r="http://schemas.openxmlformats.org/officeDocument/2006/relationships" count="140">
  <r>
    <n v="1"/>
    <x v="0"/>
    <d v="2023-05-01T00:00:00"/>
    <d v="2023-05-08T00:00:00"/>
    <n v="7"/>
    <s v="John Smith"/>
    <n v="35"/>
    <x v="0"/>
    <x v="0"/>
    <s v="American"/>
    <x v="0"/>
    <n v="1200"/>
    <x v="0"/>
    <n v="600"/>
  </r>
  <r>
    <n v="2"/>
    <x v="1"/>
    <d v="2023-06-15T00:00:00"/>
    <d v="2023-06-20T00:00:00"/>
    <n v="5"/>
    <s v="Jane Doe"/>
    <n v="28"/>
    <x v="1"/>
    <x v="1"/>
    <s v="Canadian"/>
    <x v="1"/>
    <n v="800"/>
    <x v="0"/>
    <n v="500"/>
  </r>
  <r>
    <n v="3"/>
    <x v="2"/>
    <d v="2023-07-01T00:00:00"/>
    <d v="2023-07-08T00:00:00"/>
    <n v="7"/>
    <s v="David Lee"/>
    <n v="45"/>
    <x v="2"/>
    <x v="0"/>
    <s v="Korean"/>
    <x v="2"/>
    <n v="1000"/>
    <x v="0"/>
    <n v="700"/>
  </r>
  <r>
    <n v="4"/>
    <x v="3"/>
    <d v="2023-08-15T00:00:00"/>
    <d v="2023-08-29T00:00:00"/>
    <n v="14"/>
    <s v="Sarah Johnson"/>
    <n v="29"/>
    <x v="1"/>
    <x v="1"/>
    <s v="British"/>
    <x v="0"/>
    <n v="2000"/>
    <x v="0"/>
    <n v="1000"/>
  </r>
  <r>
    <n v="5"/>
    <x v="4"/>
    <d v="2023-09-10T00:00:00"/>
    <d v="2023-09-17T00:00:00"/>
    <n v="7"/>
    <s v="Kim Nguyen"/>
    <n v="26"/>
    <x v="1"/>
    <x v="1"/>
    <s v="Vietnamese"/>
    <x v="3"/>
    <n v="700"/>
    <x v="1"/>
    <n v="200"/>
  </r>
  <r>
    <n v="6"/>
    <x v="5"/>
    <d v="2023-10-05T00:00:00"/>
    <d v="2023-10-10T00:00:00"/>
    <n v="5"/>
    <s v="Michael Brown"/>
    <n v="42"/>
    <x v="2"/>
    <x v="0"/>
    <s v="American"/>
    <x v="0"/>
    <n v="1500"/>
    <x v="0"/>
    <n v="800"/>
  </r>
  <r>
    <n v="7"/>
    <x v="6"/>
    <d v="2023-11-20T00:00:00"/>
    <d v="2023-11-30T00:00:00"/>
    <n v="10"/>
    <s v="Emily Davis"/>
    <n v="33"/>
    <x v="0"/>
    <x v="1"/>
    <s v="Australian"/>
    <x v="4"/>
    <n v="500"/>
    <x v="0"/>
    <n v="1200"/>
  </r>
  <r>
    <n v="8"/>
    <x v="7"/>
    <d v="2024-01-05T00:00:00"/>
    <d v="2024-01-12T00:00:00"/>
    <n v="7"/>
    <s v="Lucas Santos"/>
    <n v="25"/>
    <x v="1"/>
    <x v="0"/>
    <s v="Brazilian"/>
    <x v="3"/>
    <n v="900"/>
    <x v="0"/>
    <n v="600"/>
  </r>
  <r>
    <n v="9"/>
    <x v="8"/>
    <d v="2024-02-14T00:00:00"/>
    <d v="2024-02-21T00:00:00"/>
    <n v="7"/>
    <s v="Laura Janssen"/>
    <n v="31"/>
    <x v="0"/>
    <x v="1"/>
    <s v="Dutch"/>
    <x v="0"/>
    <n v="1200"/>
    <x v="1"/>
    <n v="200"/>
  </r>
  <r>
    <n v="10"/>
    <x v="9"/>
    <d v="2024-03-10T00:00:00"/>
    <d v="2024-03-17T00:00:00"/>
    <n v="7"/>
    <s v="Mohammed Ali"/>
    <n v="39"/>
    <x v="0"/>
    <x v="0"/>
    <s v="Emirati"/>
    <x v="1"/>
    <n v="2500"/>
    <x v="0"/>
    <n v="800"/>
  </r>
  <r>
    <n v="11"/>
    <x v="10"/>
    <d v="2024-04-01T00:00:00"/>
    <d v="2024-04-08T00:00:00"/>
    <n v="7"/>
    <s v="Ana Hernandez"/>
    <n v="27"/>
    <x v="1"/>
    <x v="1"/>
    <s v="Mexican"/>
    <x v="0"/>
    <n v="1000"/>
    <x v="0"/>
    <n v="500"/>
  </r>
  <r>
    <n v="12"/>
    <x v="11"/>
    <d v="2024-05-15T00:00:00"/>
    <d v="2024-05-22T00:00:00"/>
    <n v="7"/>
    <s v="Carlos Garcia"/>
    <n v="36"/>
    <x v="0"/>
    <x v="0"/>
    <s v="Spanish"/>
    <x v="3"/>
    <n v="800"/>
    <x v="1"/>
    <n v="100"/>
  </r>
  <r>
    <n v="13"/>
    <x v="12"/>
    <d v="2024-06-10T00:00:00"/>
    <d v="2024-06-18T00:00:00"/>
    <n v="8"/>
    <s v="Lily Wong"/>
    <n v="29"/>
    <x v="1"/>
    <x v="1"/>
    <s v="Chinese"/>
    <x v="1"/>
    <n v="3000"/>
    <x v="0"/>
    <n v="1200"/>
  </r>
  <r>
    <n v="14"/>
    <x v="13"/>
    <d v="2024-07-01T00:00:00"/>
    <d v="2024-07-10T00:00:00"/>
    <n v="9"/>
    <s v="Hans Mueller"/>
    <n v="48"/>
    <x v="2"/>
    <x v="0"/>
    <s v="German"/>
    <x v="0"/>
    <n v="1400"/>
    <x v="0"/>
    <n v="700"/>
  </r>
  <r>
    <n v="15"/>
    <x v="14"/>
    <d v="2024-08-20T00:00:00"/>
    <d v="2024-08-27T00:00:00"/>
    <n v="7"/>
    <s v="Fatima Khouri"/>
    <n v="26"/>
    <x v="1"/>
    <x v="1"/>
    <s v="Moroccan"/>
    <x v="5"/>
    <n v="600"/>
    <x v="0"/>
    <n v="400"/>
  </r>
  <r>
    <n v="16"/>
    <x v="15"/>
    <d v="2024-09-05T00:00:00"/>
    <d v="2024-09-12T00:00:00"/>
    <n v="7"/>
    <s v="James MacKenzie"/>
    <n v="32"/>
    <x v="0"/>
    <x v="0"/>
    <s v="Scottish"/>
    <x v="0"/>
    <n v="900"/>
    <x v="1"/>
    <n v="150"/>
  </r>
  <r>
    <n v="17"/>
    <x v="5"/>
    <d v="2023-09-01T00:00:00"/>
    <d v="2023-09-10T00:00:00"/>
    <n v="9"/>
    <s v="Sarah Johnson"/>
    <n v="30"/>
    <x v="0"/>
    <x v="1"/>
    <s v="American"/>
    <x v="0"/>
    <n v="900"/>
    <x v="2"/>
    <n v="400"/>
  </r>
  <r>
    <n v="18"/>
    <x v="2"/>
    <d v="2023-08-15T00:00:00"/>
    <d v="2023-08-25T00:00:00"/>
    <n v="10"/>
    <s v="Michael Chang"/>
    <n v="28"/>
    <x v="1"/>
    <x v="0"/>
    <s v="Chinese"/>
    <x v="1"/>
    <n v="1500"/>
    <x v="2"/>
    <n v="700"/>
  </r>
  <r>
    <n v="19"/>
    <x v="0"/>
    <d v="2023-07-22T00:00:00"/>
    <d v="2023-07-28T00:00:00"/>
    <n v="6"/>
    <s v="Olivia Rodriguez"/>
    <n v="35"/>
    <x v="0"/>
    <x v="1"/>
    <s v="British"/>
    <x v="0"/>
    <n v="1200"/>
    <x v="1"/>
    <n v="150"/>
  </r>
  <r>
    <n v="20"/>
    <x v="4"/>
    <d v="2023-10-05T00:00:00"/>
    <d v="2023-10-15T00:00:00"/>
    <n v="10"/>
    <s v="Kenji Nakamura"/>
    <n v="45"/>
    <x v="2"/>
    <x v="0"/>
    <s v="Japanese"/>
    <x v="0"/>
    <n v="1200"/>
    <x v="2"/>
    <n v="800"/>
  </r>
  <r>
    <n v="21"/>
    <x v="3"/>
    <d v="2023-11-20T00:00:00"/>
    <d v="2023-11-25T00:00:00"/>
    <n v="5"/>
    <s v="Emily Lee"/>
    <n v="27"/>
    <x v="1"/>
    <x v="1"/>
    <s v="American"/>
    <x v="3"/>
    <n v="600"/>
    <x v="3"/>
    <n v="100"/>
  </r>
  <r>
    <n v="22"/>
    <x v="6"/>
    <d v="2023-12-05T00:00:00"/>
    <d v="2023-12-12T00:00:00"/>
    <n v="7"/>
    <s v="James Wilson"/>
    <n v="32"/>
    <x v="0"/>
    <x v="0"/>
    <s v="Australian"/>
    <x v="0"/>
    <n v="1000"/>
    <x v="2"/>
    <n v="600"/>
  </r>
  <r>
    <n v="23"/>
    <x v="16"/>
    <d v="2023-11-01T00:00:00"/>
    <d v="2023-11-08T00:00:00"/>
    <n v="7"/>
    <s v="Sofia Russo"/>
    <n v="29"/>
    <x v="1"/>
    <x v="1"/>
    <s v="Italian"/>
    <x v="3"/>
    <n v="700"/>
    <x v="1"/>
    <n v="80"/>
  </r>
  <r>
    <n v="24"/>
    <x v="17"/>
    <d v="2023-09-15T00:00:00"/>
    <d v="2023-09-23T00:00:00"/>
    <n v="8"/>
    <s v="Raj Patel"/>
    <n v="40"/>
    <x v="0"/>
    <x v="0"/>
    <s v="Indian"/>
    <x v="4"/>
    <n v="400"/>
    <x v="2"/>
    <n v="500"/>
  </r>
  <r>
    <n v="25"/>
    <x v="5"/>
    <d v="2023-12-22T00:00:00"/>
    <d v="2023-12-28T00:00:00"/>
    <n v="6"/>
    <s v="Lily Nguyen"/>
    <n v="24"/>
    <x v="1"/>
    <x v="1"/>
    <s v="Vietnamese"/>
    <x v="0"/>
    <n v="1400"/>
    <x v="1"/>
    <n v="100"/>
  </r>
  <r>
    <n v="26"/>
    <x v="18"/>
    <d v="2023-08-01T00:00:00"/>
    <d v="2023-08-10T00:00:00"/>
    <n v="9"/>
    <s v="David Kim"/>
    <n v="34"/>
    <x v="0"/>
    <x v="0"/>
    <s v="Korean"/>
    <x v="1"/>
    <n v="2000"/>
    <x v="2"/>
    <n v="800"/>
  </r>
  <r>
    <n v="27"/>
    <x v="11"/>
    <d v="2023-10-20T00:00:00"/>
    <d v="2023-10-28T00:00:00"/>
    <n v="8"/>
    <s v="Maria Garcia"/>
    <n v="31"/>
    <x v="0"/>
    <x v="1"/>
    <s v="Spanish"/>
    <x v="0"/>
    <n v="1100"/>
    <x v="1"/>
    <n v="150"/>
  </r>
  <r>
    <n v="28"/>
    <x v="19"/>
    <d v="2022-05-10T00:00:00"/>
    <d v="2022-05-18T00:00:00"/>
    <n v="8"/>
    <s v="Alice Smith"/>
    <n v="30"/>
    <x v="0"/>
    <x v="1"/>
    <s v="American"/>
    <x v="0"/>
    <n v="800"/>
    <x v="2"/>
    <n v="500"/>
  </r>
  <r>
    <n v="29"/>
    <x v="20"/>
    <d v="2022-06-15T00:00:00"/>
    <d v="2022-06-22T00:00:00"/>
    <n v="7"/>
    <s v="Bob Johnson"/>
    <n v="45"/>
    <x v="2"/>
    <x v="0"/>
    <s v="Canadian"/>
    <x v="4"/>
    <n v="200"/>
    <x v="1"/>
    <n v="150"/>
  </r>
  <r>
    <n v="30"/>
    <x v="21"/>
    <d v="2022-07-02T00:00:00"/>
    <d v="2022-07-11T00:00:00"/>
    <n v="9"/>
    <s v="Charlie Lee"/>
    <n v="25"/>
    <x v="1"/>
    <x v="0"/>
    <s v="Korean"/>
    <x v="3"/>
    <n v="600"/>
    <x v="4"/>
    <n v="300"/>
  </r>
  <r>
    <n v="31"/>
    <x v="22"/>
    <d v="2022-08-20T00:00:00"/>
    <d v="2022-09-02T00:00:00"/>
    <n v="13"/>
    <s v="Emma Davis"/>
    <n v="28"/>
    <x v="1"/>
    <x v="1"/>
    <s v="British"/>
    <x v="0"/>
    <n v="1000"/>
    <x v="4"/>
    <n v="500"/>
  </r>
  <r>
    <n v="32"/>
    <x v="23"/>
    <d v="2022-09-05T00:00:00"/>
    <d v="2022-09-14T00:00:00"/>
    <n v="9"/>
    <s v="Olivia Martin"/>
    <n v="33"/>
    <x v="0"/>
    <x v="1"/>
    <s v="Australian"/>
    <x v="4"/>
    <n v="150"/>
    <x v="3"/>
    <n v="50"/>
  </r>
  <r>
    <n v="33"/>
    <x v="24"/>
    <d v="2022-10-12T00:00:00"/>
    <d v="2022-10-20T00:00:00"/>
    <n v="8"/>
    <s v="Harry Wilson"/>
    <n v="20"/>
    <x v="1"/>
    <x v="0"/>
    <s v="American"/>
    <x v="3"/>
    <n v="400"/>
    <x v="2"/>
    <n v="600"/>
  </r>
  <r>
    <n v="34"/>
    <x v="25"/>
    <d v="2022-11-08T00:00:00"/>
    <d v="2022-11-15T00:00:00"/>
    <n v="7"/>
    <s v="Sophia Lee"/>
    <n v="37"/>
    <x v="0"/>
    <x v="1"/>
    <s v="Canadian"/>
    <x v="0"/>
    <n v="700"/>
    <x v="1"/>
    <n v="100"/>
  </r>
  <r>
    <n v="35"/>
    <x v="26"/>
    <d v="2023-01-05T00:00:00"/>
    <d v="2023-01-15T00:00:00"/>
    <n v="10"/>
    <s v="James Brown"/>
    <n v="42"/>
    <x v="2"/>
    <x v="0"/>
    <s v="British"/>
    <x v="3"/>
    <n v="500"/>
    <x v="2"/>
    <n v="800"/>
  </r>
  <r>
    <n v="36"/>
    <x v="27"/>
    <d v="2023-02-14T00:00:00"/>
    <d v="2023-02-20T00:00:00"/>
    <n v="6"/>
    <s v="Mia Johnson"/>
    <n v="31"/>
    <x v="0"/>
    <x v="1"/>
    <s v="American"/>
    <x v="4"/>
    <n v="180"/>
    <x v="1"/>
    <n v="120"/>
  </r>
  <r>
    <n v="37"/>
    <x v="28"/>
    <d v="2023-03-23T00:00:00"/>
    <d v="2023-03-31T00:00:00"/>
    <n v="8"/>
    <s v="William Davis"/>
    <n v="27"/>
    <x v="1"/>
    <x v="0"/>
    <s v="Korean"/>
    <x v="0"/>
    <n v="900"/>
    <x v="4"/>
    <n v="400"/>
  </r>
  <r>
    <n v="38"/>
    <x v="29"/>
    <d v="2023-04-19T00:00:00"/>
    <d v="2023-04-26T00:00:00"/>
    <n v="7"/>
    <s v="Amelia Brown"/>
    <n v="38"/>
    <x v="0"/>
    <x v="1"/>
    <s v="Australian"/>
    <x v="3"/>
    <n v="350"/>
    <x v="3"/>
    <n v="75"/>
  </r>
  <r>
    <n v="39"/>
    <x v="5"/>
    <d v="2022-06-12T00:00:00"/>
    <d v="2022-06-19T00:00:00"/>
    <n v="7"/>
    <s v="Mia Johnson"/>
    <n v="25"/>
    <x v="1"/>
    <x v="1"/>
    <s v="American"/>
    <x v="0"/>
    <n v="1400"/>
    <x v="2"/>
    <n v="600"/>
  </r>
  <r>
    <n v="40"/>
    <x v="6"/>
    <d v="2023-01-02T00:00:00"/>
    <d v="2023-01-09T00:00:00"/>
    <n v="7"/>
    <s v="Adam Lee"/>
    <n v="33"/>
    <x v="0"/>
    <x v="0"/>
    <s v="Canadian"/>
    <x v="3"/>
    <n v="800"/>
    <x v="1"/>
    <n v="150"/>
  </r>
  <r>
    <n v="41"/>
    <x v="4"/>
    <d v="2022-12-10T00:00:00"/>
    <d v="2022-12-18T00:00:00"/>
    <n v="8"/>
    <s v="Sarah Wong"/>
    <n v="28"/>
    <x v="1"/>
    <x v="1"/>
    <s v="Chinese"/>
    <x v="4"/>
    <n v="500"/>
    <x v="2"/>
    <n v="900"/>
  </r>
  <r>
    <n v="42"/>
    <x v="10"/>
    <d v="2023-07-01T00:00:00"/>
    <d v="2023-07-08T00:00:00"/>
    <n v="7"/>
    <s v="John Smith"/>
    <n v="45"/>
    <x v="2"/>
    <x v="0"/>
    <s v="American"/>
    <x v="1"/>
    <n v="2200"/>
    <x v="2"/>
    <n v="800"/>
  </r>
  <r>
    <n v="43"/>
    <x v="7"/>
    <d v="2022-11-20T00:00:00"/>
    <d v="2022-11-27T00:00:00"/>
    <n v="7"/>
    <s v="Maria Silva"/>
    <n v="30"/>
    <x v="0"/>
    <x v="1"/>
    <s v="Brazilian"/>
    <x v="0"/>
    <n v="1200"/>
    <x v="2"/>
    <n v="700"/>
  </r>
  <r>
    <n v="44"/>
    <x v="0"/>
    <d v="2023-03-05T00:00:00"/>
    <d v="2023-03-12T00:00:00"/>
    <n v="7"/>
    <s v="Peter Brown"/>
    <n v="55"/>
    <x v="2"/>
    <x v="0"/>
    <s v="British"/>
    <x v="3"/>
    <n v="900"/>
    <x v="1"/>
    <n v="100"/>
  </r>
  <r>
    <n v="45"/>
    <x v="11"/>
    <d v="2023-08-18T00:00:00"/>
    <d v="2023-08-25T00:00:00"/>
    <n v="7"/>
    <s v="Emma Garcia"/>
    <n v="27"/>
    <x v="1"/>
    <x v="1"/>
    <s v="Spanish"/>
    <x v="4"/>
    <n v="600"/>
    <x v="2"/>
    <n v="600"/>
  </r>
  <r>
    <n v="46"/>
    <x v="3"/>
    <d v="2022-09-15T00:00:00"/>
    <d v="2022-09-22T00:00:00"/>
    <n v="7"/>
    <s v="Michael Davis"/>
    <n v="41"/>
    <x v="2"/>
    <x v="0"/>
    <s v="American"/>
    <x v="0"/>
    <n v="1500"/>
    <x v="2"/>
    <n v="500"/>
  </r>
  <r>
    <n v="47"/>
    <x v="17"/>
    <d v="2023-05-01T00:00:00"/>
    <d v="2023-05-07T00:00:00"/>
    <n v="6"/>
    <s v="Nina Patel"/>
    <n v="29"/>
    <x v="1"/>
    <x v="1"/>
    <s v="Indian"/>
    <x v="3"/>
    <n v="500"/>
    <x v="3"/>
    <n v="50"/>
  </r>
  <r>
    <n v="48"/>
    <x v="30"/>
    <d v="2022-07-10T00:00:00"/>
    <d v="2022-07-17T00:00:00"/>
    <n v="7"/>
    <s v="Kevin Kim"/>
    <n v="24"/>
    <x v="1"/>
    <x v="0"/>
    <s v="Korean"/>
    <x v="4"/>
    <n v="400"/>
    <x v="1"/>
    <n v="150"/>
  </r>
  <r>
    <n v="49"/>
    <x v="8"/>
    <d v="2023-06-20T00:00:00"/>
    <d v="2023-06-28T00:00:00"/>
    <n v="8"/>
    <s v="Laura van den Berg"/>
    <n v="31"/>
    <x v="0"/>
    <x v="1"/>
    <s v="Dutch"/>
    <x v="0"/>
    <n v="1100"/>
    <x v="2"/>
    <n v="700"/>
  </r>
  <r>
    <n v="50"/>
    <x v="5"/>
    <d v="2023-08-15T00:00:00"/>
    <d v="2023-08-22T00:00:00"/>
    <n v="7"/>
    <s v="Jennifer Nguyen"/>
    <n v="31"/>
    <x v="0"/>
    <x v="1"/>
    <s v="Canadian"/>
    <x v="0"/>
    <n v="1200"/>
    <x v="1"/>
    <n v="300"/>
  </r>
  <r>
    <n v="51"/>
    <x v="4"/>
    <d v="2023-10-10T00:00:00"/>
    <d v="2023-10-20T00:00:00"/>
    <n v="10"/>
    <s v="David Kim"/>
    <n v="25"/>
    <x v="1"/>
    <x v="0"/>
    <s v="American"/>
    <x v="4"/>
    <n v="500"/>
    <x v="3"/>
    <n v="100"/>
  </r>
  <r>
    <n v="52"/>
    <x v="6"/>
    <d v="2023-11-05T00:00:00"/>
    <d v="2023-11-12T00:00:00"/>
    <n v="7"/>
    <s v="Rachel Lee"/>
    <n v="27"/>
    <x v="1"/>
    <x v="1"/>
    <s v="South Korean"/>
    <x v="3"/>
    <n v="900"/>
    <x v="4"/>
    <n v="200"/>
  </r>
  <r>
    <n v="53"/>
    <x v="3"/>
    <d v="2023-12-24T00:00:00"/>
    <d v="2023-12-31T00:00:00"/>
    <n v="7"/>
    <s v="Jessica Wong"/>
    <n v="28"/>
    <x v="1"/>
    <x v="1"/>
    <s v="Canadian"/>
    <x v="0"/>
    <n v="1400"/>
    <x v="0"/>
    <n v="800"/>
  </r>
  <r>
    <n v="54"/>
    <x v="7"/>
    <d v="2024-01-15T00:00:00"/>
    <d v="2024-01-24T00:00:00"/>
    <n v="9"/>
    <s v="Felipe Almeida"/>
    <n v="30"/>
    <x v="0"/>
    <x v="0"/>
    <s v="Brazilian"/>
    <x v="3"/>
    <n v="800"/>
    <x v="1"/>
    <n v="150"/>
  </r>
  <r>
    <n v="55"/>
    <x v="17"/>
    <d v="2024-02-01T00:00:00"/>
    <d v="2024-02-09T00:00:00"/>
    <n v="8"/>
    <s v="Nisa Patel"/>
    <n v="23"/>
    <x v="1"/>
    <x v="1"/>
    <s v="Indian"/>
    <x v="4"/>
    <n v="400"/>
    <x v="3"/>
    <n v="50"/>
  </r>
  <r>
    <n v="56"/>
    <x v="0"/>
    <d v="2024-03-15T00:00:00"/>
    <d v="2024-03-23T00:00:00"/>
    <n v="8"/>
    <s v="Ben Smith"/>
    <n v="35"/>
    <x v="0"/>
    <x v="0"/>
    <s v="British"/>
    <x v="0"/>
    <n v="1000"/>
    <x v="1"/>
    <n v="200"/>
  </r>
  <r>
    <n v="57"/>
    <x v="11"/>
    <d v="2024-04-05T00:00:00"/>
    <d v="2024-04-13T00:00:00"/>
    <n v="8"/>
    <s v="Laura Gomez"/>
    <n v="29"/>
    <x v="1"/>
    <x v="1"/>
    <s v="Spanish"/>
    <x v="3"/>
    <n v="700"/>
    <x v="4"/>
    <n v="250"/>
  </r>
  <r>
    <n v="58"/>
    <x v="31"/>
    <d v="2024-05-10T00:00:00"/>
    <d v="2024-05-18T00:00:00"/>
    <n v="8"/>
    <s v="Park Min Woo"/>
    <n v="27"/>
    <x v="1"/>
    <x v="0"/>
    <s v="South Korean"/>
    <x v="4"/>
    <n v="500"/>
    <x v="5"/>
    <n v="20"/>
  </r>
  <r>
    <n v="59"/>
    <x v="32"/>
    <d v="2024-06-20T00:00:00"/>
    <d v="2024-06-27T00:00:00"/>
    <n v="7"/>
    <s v="Michael Chen"/>
    <n v="26"/>
    <x v="1"/>
    <x v="0"/>
    <s v="Chinese"/>
    <x v="0"/>
    <n v="1200"/>
    <x v="4"/>
    <n v="300"/>
  </r>
  <r>
    <n v="60"/>
    <x v="16"/>
    <d v="2024-07-15T00:00:00"/>
    <d v="2024-07-23T00:00:00"/>
    <n v="8"/>
    <s v="Sofia Rossi"/>
    <n v="33"/>
    <x v="0"/>
    <x v="1"/>
    <s v="Italian"/>
    <x v="3"/>
    <n v="800"/>
    <x v="1"/>
    <n v="100"/>
  </r>
  <r>
    <n v="61"/>
    <x v="5"/>
    <d v="2022-07-12T00:00:00"/>
    <d v="2022-07-18T00:00:00"/>
    <n v="6"/>
    <s v="Rachel Sanders"/>
    <n v="35"/>
    <x v="0"/>
    <x v="1"/>
    <s v="American"/>
    <x v="0"/>
    <n v="1200"/>
    <x v="2"/>
    <n v="800"/>
  </r>
  <r>
    <n v="62"/>
    <x v="4"/>
    <d v="2022-09-03T00:00:00"/>
    <d v="2022-09-10T00:00:00"/>
    <n v="7"/>
    <s v="Kenji Nakamura"/>
    <n v="28"/>
    <x v="1"/>
    <x v="0"/>
    <s v="Japanese"/>
    <x v="4"/>
    <n v="400"/>
    <x v="1"/>
    <n v="300"/>
  </r>
  <r>
    <n v="63"/>
    <x v="33"/>
    <d v="2023-01-07T00:00:00"/>
    <d v="2023-01-16T00:00:00"/>
    <n v="9"/>
    <s v="Emily Watson"/>
    <n v="29"/>
    <x v="1"/>
    <x v="1"/>
    <s v="British"/>
    <x v="6"/>
    <n v="800"/>
    <x v="4"/>
    <n v="200"/>
  </r>
  <r>
    <n v="64"/>
    <x v="6"/>
    <d v="2023-06-23T00:00:00"/>
    <d v="2023-06-29T00:00:00"/>
    <n v="6"/>
    <s v="David Lee"/>
    <n v="43"/>
    <x v="2"/>
    <x v="0"/>
    <s v="Australian"/>
    <x v="0"/>
    <n v="1500"/>
    <x v="2"/>
    <n v="1200"/>
  </r>
  <r>
    <n v="65"/>
    <x v="11"/>
    <d v="2023-08-18T00:00:00"/>
    <d v="2023-08-25T00:00:00"/>
    <n v="7"/>
    <s v="Ana Rodriguez"/>
    <n v="31"/>
    <x v="0"/>
    <x v="1"/>
    <s v="Spanish"/>
    <x v="6"/>
    <n v="900"/>
    <x v="2"/>
    <n v="700"/>
  </r>
  <r>
    <n v="66"/>
    <x v="2"/>
    <d v="2024-02-01T00:00:00"/>
    <d v="2024-02-08T00:00:00"/>
    <n v="7"/>
    <s v="Tom Wilson"/>
    <n v="27"/>
    <x v="1"/>
    <x v="0"/>
    <s v="American"/>
    <x v="1"/>
    <n v="2200"/>
    <x v="2"/>
    <n v="1000"/>
  </r>
  <r>
    <n v="67"/>
    <x v="5"/>
    <d v="2024-05-06T00:00:00"/>
    <d v="2024-05-12T00:00:00"/>
    <n v="6"/>
    <s v="Olivia Green"/>
    <n v="39"/>
    <x v="0"/>
    <x v="1"/>
    <s v="French"/>
    <x v="0"/>
    <n v="1100"/>
    <x v="1"/>
    <n v="200"/>
  </r>
  <r>
    <n v="68"/>
    <x v="3"/>
    <d v="2024-07-20T00:00:00"/>
    <d v="2024-07-26T00:00:00"/>
    <n v="6"/>
    <s v="James Chen"/>
    <n v="25"/>
    <x v="1"/>
    <x v="0"/>
    <s v="American"/>
    <x v="6"/>
    <n v="1000"/>
    <x v="2"/>
    <n v="800"/>
  </r>
  <r>
    <n v="69"/>
    <x v="17"/>
    <d v="2024-09-08T00:00:00"/>
    <d v="2024-09-16T00:00:00"/>
    <n v="8"/>
    <s v="Lila Patel"/>
    <n v="33"/>
    <x v="0"/>
    <x v="1"/>
    <s v="Indian"/>
    <x v="4"/>
    <n v="300"/>
    <x v="2"/>
    <n v="700"/>
  </r>
  <r>
    <n v="70"/>
    <x v="16"/>
    <d v="2025-02-14T00:00:00"/>
    <d v="2025-02-20T00:00:00"/>
    <n v="6"/>
    <s v="Marco Rossi"/>
    <n v="41"/>
    <x v="2"/>
    <x v="0"/>
    <s v="Italian"/>
    <x v="0"/>
    <n v="1300"/>
    <x v="1"/>
    <n v="100"/>
  </r>
  <r>
    <n v="71"/>
    <x v="2"/>
    <d v="2025-05-21T00:00:00"/>
    <d v="2025-05-29T00:00:00"/>
    <n v="8"/>
    <s v="Sarah Brown"/>
    <n v="37"/>
    <x v="0"/>
    <x v="1"/>
    <s v="British"/>
    <x v="1"/>
    <n v="1800"/>
    <x v="2"/>
    <n v="1000"/>
  </r>
  <r>
    <n v="72"/>
    <x v="34"/>
    <s v="N/A"/>
    <s v="N/A"/>
    <s v="N/A"/>
    <s v="N/A"/>
    <s v="N/A"/>
    <x v="2"/>
    <x v="2"/>
    <s v="N/A"/>
    <x v="7"/>
    <s v="N/A"/>
    <x v="6"/>
    <s v="N/A"/>
  </r>
  <r>
    <n v="73"/>
    <x v="2"/>
    <d v="2022-08-05T00:00:00"/>
    <d v="2022-08-12T00:00:00"/>
    <n v="7"/>
    <s v="Sarah Lee"/>
    <n v="35"/>
    <x v="0"/>
    <x v="1"/>
    <s v="South Korean"/>
    <x v="1"/>
    <s v="500 USD"/>
    <x v="2"/>
    <s v="800 USD"/>
  </r>
  <r>
    <n v="74"/>
    <x v="4"/>
    <d v="2023-01-01T00:00:00"/>
    <d v="2023-01-09T00:00:00"/>
    <n v="8"/>
    <s v="Alex Kim"/>
    <n v="29"/>
    <x v="1"/>
    <x v="0"/>
    <s v="American"/>
    <x v="0"/>
    <s v="1000 USD"/>
    <x v="1"/>
    <s v="200 USD"/>
  </r>
  <r>
    <n v="75"/>
    <x v="10"/>
    <d v="2023-04-15T00:00:00"/>
    <d v="2023-04-22T00:00:00"/>
    <n v="7"/>
    <s v="Maria Hernandez"/>
    <n v="42"/>
    <x v="2"/>
    <x v="1"/>
    <s v="Mexican"/>
    <x v="1"/>
    <s v="800 USD"/>
    <x v="2"/>
    <s v="500 USD"/>
  </r>
  <r>
    <n v="76"/>
    <x v="5"/>
    <d v="2023-06-07T00:00:00"/>
    <d v="2023-06-14T00:00:00"/>
    <n v="7"/>
    <s v="John Smith"/>
    <n v="46"/>
    <x v="2"/>
    <x v="0"/>
    <s v="British"/>
    <x v="0"/>
    <s v="1200 USD"/>
    <x v="2"/>
    <s v="700 USD"/>
  </r>
  <r>
    <n v="77"/>
    <x v="33"/>
    <d v="2023-09-01T00:00:00"/>
    <d v="2023-09-10T00:00:00"/>
    <n v="9"/>
    <s v="Mark Johnson"/>
    <n v="31"/>
    <x v="0"/>
    <x v="0"/>
    <s v="South African"/>
    <x v="8"/>
    <s v="400 USD"/>
    <x v="7"/>
    <s v="300 USD"/>
  </r>
  <r>
    <n v="78"/>
    <x v="2"/>
    <d v="2023-11-12T00:00:00"/>
    <d v="2023-11-19T00:00:00"/>
    <n v="7"/>
    <s v="Amanda Chen"/>
    <n v="25"/>
    <x v="1"/>
    <x v="1"/>
    <s v="Taiwanese"/>
    <x v="1"/>
    <s v="600 USD"/>
    <x v="2"/>
    <s v="700 USD"/>
  </r>
  <r>
    <n v="79"/>
    <x v="6"/>
    <d v="2024-02-05T00:00:00"/>
    <d v="2024-02-12T00:00:00"/>
    <n v="7"/>
    <s v="David Lee"/>
    <n v="38"/>
    <x v="0"/>
    <x v="0"/>
    <s v="Australian"/>
    <x v="0"/>
    <s v="900 USD"/>
    <x v="2"/>
    <s v="600 USD"/>
  </r>
  <r>
    <n v="80"/>
    <x v="17"/>
    <d v="2024-05-15T00:00:00"/>
    <d v="2024-05-22T00:00:00"/>
    <n v="7"/>
    <s v="Nana Kwon"/>
    <n v="27"/>
    <x v="1"/>
    <x v="1"/>
    <s v="Korean"/>
    <x v="0"/>
    <s v="400 USD"/>
    <x v="2"/>
    <s v="400 USD"/>
  </r>
  <r>
    <n v="81"/>
    <x v="3"/>
    <d v="2024-08-20T00:00:00"/>
    <d v="2024-08-27T00:00:00"/>
    <n v="7"/>
    <s v="Tom Hanks"/>
    <n v="60"/>
    <x v="2"/>
    <x v="0"/>
    <s v="American"/>
    <x v="0"/>
    <s v="1500 USD"/>
    <x v="2"/>
    <s v="1000 USD"/>
  </r>
  <r>
    <n v="82"/>
    <x v="1"/>
    <d v="2025-01-01T00:00:00"/>
    <d v="2025-01-08T00:00:00"/>
    <n v="7"/>
    <s v="Emma Watson"/>
    <n v="32"/>
    <x v="0"/>
    <x v="1"/>
    <s v="British"/>
    <x v="1"/>
    <s v="700 USD"/>
    <x v="2"/>
    <s v="800 USD"/>
  </r>
  <r>
    <n v="83"/>
    <x v="16"/>
    <d v="2025-04-15T00:00:00"/>
    <d v="2025-04-22T00:00:00"/>
    <n v="7"/>
    <s v="James Kim"/>
    <n v="41"/>
    <x v="2"/>
    <x v="0"/>
    <s v="American"/>
    <x v="0"/>
    <n v="100"/>
    <x v="6"/>
    <s v="N/A"/>
  </r>
  <r>
    <n v="84"/>
    <x v="5"/>
    <d v="2021-06-15T00:00:00"/>
    <d v="2021-06-20T00:00:00"/>
    <n v="6"/>
    <s v="John Smith"/>
    <n v="35"/>
    <x v="0"/>
    <x v="0"/>
    <s v="American"/>
    <x v="0"/>
    <s v="800 USD"/>
    <x v="2"/>
    <s v="500 USD"/>
  </r>
  <r>
    <n v="85"/>
    <x v="4"/>
    <d v="2021-07-01T00:00:00"/>
    <d v="2021-07-10T00:00:00"/>
    <n v="10"/>
    <s v="Sarah Lee"/>
    <n v="28"/>
    <x v="1"/>
    <x v="1"/>
    <s v="Korean"/>
    <x v="3"/>
    <s v="500 USD"/>
    <x v="1"/>
    <s v="300 USD"/>
  </r>
  <r>
    <n v="86"/>
    <x v="2"/>
    <d v="2021-08-10T00:00:00"/>
    <d v="2021-08-20T00:00:00"/>
    <n v="11"/>
    <s v="Maria Garcia"/>
    <n v="42"/>
    <x v="2"/>
    <x v="1"/>
    <s v="Spanish"/>
    <x v="1"/>
    <s v="1200 USD"/>
    <x v="2"/>
    <s v="700 USD"/>
  </r>
  <r>
    <n v="87"/>
    <x v="6"/>
    <d v="2021-09-01T00:00:00"/>
    <d v="2021-09-10T00:00:00"/>
    <n v="9"/>
    <s v="David Lee"/>
    <n v="45"/>
    <x v="2"/>
    <x v="0"/>
    <s v="Australian"/>
    <x v="0"/>
    <s v="900 USD"/>
    <x v="2"/>
    <s v="600 USD"/>
  </r>
  <r>
    <n v="88"/>
    <x v="3"/>
    <d v="2021-10-15T00:00:00"/>
    <d v="2021-10-20T00:00:00"/>
    <n v="6"/>
    <s v="Emily Davis"/>
    <n v="31"/>
    <x v="0"/>
    <x v="1"/>
    <s v="American"/>
    <x v="3"/>
    <s v="700 USD"/>
    <x v="4"/>
    <s v="200 USD"/>
  </r>
  <r>
    <n v="89"/>
    <x v="0"/>
    <d v="2021-11-20T00:00:00"/>
    <d v="2021-11-30T00:00:00"/>
    <n v="11"/>
    <s v="James Wilson"/>
    <n v="29"/>
    <x v="1"/>
    <x v="0"/>
    <s v="British"/>
    <x v="4"/>
    <s v="300 USD"/>
    <x v="2"/>
    <s v="400 USD"/>
  </r>
  <r>
    <n v="90"/>
    <x v="9"/>
    <d v="2022-01-01T00:00:00"/>
    <d v="2022-01-08T00:00:00"/>
    <n v="8"/>
    <s v="Fatima Ahmed"/>
    <n v="24"/>
    <x v="1"/>
    <x v="1"/>
    <s v="Emirati"/>
    <x v="0"/>
    <s v="1000 USD"/>
    <x v="2"/>
    <s v="800 USD"/>
  </r>
  <r>
    <n v="91"/>
    <x v="17"/>
    <d v="2022-02-14T00:00:00"/>
    <d v="2022-02-20T00:00:00"/>
    <n v="7"/>
    <s v="Liam Nguyen"/>
    <n v="26"/>
    <x v="1"/>
    <x v="0"/>
    <s v="Vietnamese"/>
    <x v="3"/>
    <s v="400 USD"/>
    <x v="1"/>
    <s v="100 USD"/>
  </r>
  <r>
    <n v="92"/>
    <x v="16"/>
    <d v="2022-03-10T00:00:00"/>
    <d v="2022-03-20T00:00:00"/>
    <n v="11"/>
    <s v="Giulia Rossi"/>
    <n v="30"/>
    <x v="0"/>
    <x v="1"/>
    <s v="Italian"/>
    <x v="4"/>
    <s v="200 USD"/>
    <x v="2"/>
    <s v="350 USD"/>
  </r>
  <r>
    <n v="93"/>
    <x v="2"/>
    <d v="2022-04-15T00:00:00"/>
    <d v="2022-04-25T00:00:00"/>
    <n v="11"/>
    <s v="Putra Wijaya"/>
    <n v="33"/>
    <x v="0"/>
    <x v="0"/>
    <s v="Indonesian"/>
    <x v="2"/>
    <s v="1500 USD"/>
    <x v="4"/>
    <s v="300 USD"/>
  </r>
  <r>
    <n v="94"/>
    <x v="31"/>
    <d v="2022-05-01T00:00:00"/>
    <d v="2022-05-10T00:00:00"/>
    <n v="10"/>
    <s v="Kim Min-ji"/>
    <n v="27"/>
    <x v="1"/>
    <x v="1"/>
    <s v="Korean"/>
    <x v="0"/>
    <s v="800 USD"/>
    <x v="1"/>
    <s v="150 USD"/>
  </r>
  <r>
    <n v="95"/>
    <x v="5"/>
    <d v="2022-06-15T00:00:00"/>
    <d v="2022-06-20T00:00:00"/>
    <n v="5"/>
    <s v="John Smith"/>
    <n v="35"/>
    <x v="0"/>
    <x v="0"/>
    <s v="USA"/>
    <x v="0"/>
    <n v="500"/>
    <x v="2"/>
    <n v="800"/>
  </r>
  <r>
    <n v="96"/>
    <x v="4"/>
    <d v="2022-09-01T00:00:00"/>
    <d v="2022-09-10T00:00:00"/>
    <n v="9"/>
    <s v="Emily Johnson"/>
    <n v="28"/>
    <x v="1"/>
    <x v="1"/>
    <s v="Canada"/>
    <x v="3"/>
    <n v="400"/>
    <x v="1"/>
    <n v="200"/>
  </r>
  <r>
    <n v="97"/>
    <x v="6"/>
    <d v="2022-11-23T00:00:00"/>
    <d v="2022-12-02T00:00:00"/>
    <n v="9"/>
    <s v="David Lee"/>
    <n v="45"/>
    <x v="2"/>
    <x v="0"/>
    <s v="South Korea"/>
    <x v="4"/>
    <n v="200"/>
    <x v="2"/>
    <n v="1200"/>
  </r>
  <r>
    <n v="98"/>
    <x v="0"/>
    <d v="2023-02-14T00:00:00"/>
    <d v="2023-02-19T00:00:00"/>
    <n v="5"/>
    <s v="Sarah Brown"/>
    <n v="37"/>
    <x v="0"/>
    <x v="1"/>
    <s v="UK"/>
    <x v="0"/>
    <n v="600"/>
    <x v="2"/>
    <n v="700"/>
  </r>
  <r>
    <n v="99"/>
    <x v="3"/>
    <d v="2023-05-08T00:00:00"/>
    <d v="2023-05-14T00:00:00"/>
    <n v="6"/>
    <s v="Michael Wong"/>
    <n v="50"/>
    <x v="2"/>
    <x v="0"/>
    <s v="China"/>
    <x v="3"/>
    <n v="800"/>
    <x v="4"/>
    <n v="300"/>
  </r>
  <r>
    <n v="100"/>
    <x v="16"/>
    <d v="2023-08-20T00:00:00"/>
    <d v="2023-08-27T00:00:00"/>
    <n v="7"/>
    <s v="Jessica Chen"/>
    <n v="31"/>
    <x v="0"/>
    <x v="1"/>
    <s v="Taiwan"/>
    <x v="0"/>
    <n v="700"/>
    <x v="2"/>
    <n v="900"/>
  </r>
  <r>
    <n v="101"/>
    <x v="17"/>
    <d v="2023-11-12T00:00:00"/>
    <d v="2023-11-20T00:00:00"/>
    <n v="8"/>
    <s v="Ken Tanaka"/>
    <n v="42"/>
    <x v="2"/>
    <x v="0"/>
    <s v="Japan"/>
    <x v="4"/>
    <n v="300"/>
    <x v="1"/>
    <n v="100"/>
  </r>
  <r>
    <n v="102"/>
    <x v="33"/>
    <d v="2024-01-06T00:00:00"/>
    <d v="2024-01-14T00:00:00"/>
    <n v="8"/>
    <s v="Maria Garcia"/>
    <n v="27"/>
    <x v="1"/>
    <x v="1"/>
    <s v="Spain"/>
    <x v="3"/>
    <n v="500"/>
    <x v="2"/>
    <n v="1500"/>
  </r>
  <r>
    <n v="103"/>
    <x v="7"/>
    <d v="2024-04-03T00:00:00"/>
    <d v="2024-04-10T00:00:00"/>
    <n v="7"/>
    <s v="Rodrigo Oliveira"/>
    <n v="33"/>
    <x v="0"/>
    <x v="0"/>
    <s v="Brazil"/>
    <x v="0"/>
    <n v="900"/>
    <x v="4"/>
    <n v="400"/>
  </r>
  <r>
    <n v="104"/>
    <x v="2"/>
    <d v="2024-07-22T00:00:00"/>
    <d v="2024-07-28T00:00:00"/>
    <n v="6"/>
    <s v="Olivia Kim"/>
    <n v="29"/>
    <x v="1"/>
    <x v="1"/>
    <s v="South Korea"/>
    <x v="2"/>
    <n v="1200"/>
    <x v="2"/>
    <n v="1000"/>
  </r>
  <r>
    <n v="105"/>
    <x v="8"/>
    <d v="2024-10-10T00:00:00"/>
    <d v="2024-10-17T00:00:00"/>
    <n v="7"/>
    <s v="Robert Mueller"/>
    <n v="41"/>
    <x v="2"/>
    <x v="0"/>
    <s v="Germany"/>
    <x v="0"/>
    <n v="600"/>
    <x v="1"/>
    <n v="150"/>
  </r>
  <r>
    <n v="106"/>
    <x v="5"/>
    <d v="2022-05-15T00:00:00"/>
    <d v="2022-05-20T00:00:00"/>
    <n v="5"/>
    <s v="John Smith"/>
    <n v="35"/>
    <x v="0"/>
    <x v="0"/>
    <s v="USA"/>
    <x v="0"/>
    <n v="1000"/>
    <x v="2"/>
    <n v="800"/>
  </r>
  <r>
    <n v="107"/>
    <x v="4"/>
    <d v="2022-09-01T00:00:00"/>
    <d v="2022-09-10T00:00:00"/>
    <n v="9"/>
    <s v="Sarah Lee"/>
    <n v="28"/>
    <x v="1"/>
    <x v="1"/>
    <s v="South Korea"/>
    <x v="3"/>
    <n v="800"/>
    <x v="1"/>
    <n v="500"/>
  </r>
  <r>
    <n v="108"/>
    <x v="3"/>
    <d v="2022-06-20T00:00:00"/>
    <d v="2022-06-25T00:00:00"/>
    <n v="5"/>
    <s v="Michael Wong"/>
    <n v="42"/>
    <x v="2"/>
    <x v="0"/>
    <s v="Hong Kong"/>
    <x v="0"/>
    <n v="1200"/>
    <x v="4"/>
    <n v="200"/>
  </r>
  <r>
    <n v="109"/>
    <x v="2"/>
    <d v="2022-08-12T00:00:00"/>
    <d v="2022-08-20T00:00:00"/>
    <n v="8"/>
    <s v="Lisa Chen"/>
    <n v="30"/>
    <x v="0"/>
    <x v="1"/>
    <s v="Taiwan"/>
    <x v="1"/>
    <n v="1500"/>
    <x v="2"/>
    <n v="1200"/>
  </r>
  <r>
    <n v="110"/>
    <x v="6"/>
    <d v="2022-07-01T00:00:00"/>
    <d v="2022-07-10T00:00:00"/>
    <n v="9"/>
    <s v="David Kim"/>
    <n v="26"/>
    <x v="1"/>
    <x v="0"/>
    <s v="Canada"/>
    <x v="4"/>
    <n v="300"/>
    <x v="2"/>
    <n v="900"/>
  </r>
  <r>
    <n v="111"/>
    <x v="0"/>
    <d v="2022-06-10T00:00:00"/>
    <d v="2022-06-15T00:00:00"/>
    <n v="5"/>
    <s v="Emily Wong"/>
    <n v="38"/>
    <x v="0"/>
    <x v="1"/>
    <s v="United Kingdom"/>
    <x v="0"/>
    <n v="900"/>
    <x v="1"/>
    <n v="150"/>
  </r>
  <r>
    <n v="112"/>
    <x v="1"/>
    <d v="2022-09-05T00:00:00"/>
    <d v="2022-09-12T00:00:00"/>
    <n v="7"/>
    <s v="Mark Tan"/>
    <n v="45"/>
    <x v="2"/>
    <x v="0"/>
    <s v="Singapore"/>
    <x v="2"/>
    <n v="2000"/>
    <x v="2"/>
    <n v="700"/>
  </r>
  <r>
    <n v="113"/>
    <x v="16"/>
    <d v="2022-05-01T00:00:00"/>
    <d v="2022-05-08T00:00:00"/>
    <n v="7"/>
    <s v="Emma Lee"/>
    <n v="31"/>
    <x v="0"/>
    <x v="1"/>
    <s v="Italy"/>
    <x v="0"/>
    <n v="1100"/>
    <x v="1"/>
    <n v="250"/>
  </r>
  <r>
    <n v="114"/>
    <x v="35"/>
    <d v="2022-07-15T00:00:00"/>
    <d v="2022-07-22T00:00:00"/>
    <n v="7"/>
    <s v="George Chen"/>
    <n v="27"/>
    <x v="1"/>
    <x v="0"/>
    <s v="Greece"/>
    <x v="3"/>
    <n v="1000"/>
    <x v="8"/>
    <n v="150"/>
  </r>
  <r>
    <n v="115"/>
    <x v="9"/>
    <d v="2022-08-25T00:00:00"/>
    <d v="2022-08-30T00:00:00"/>
    <n v="5"/>
    <s v="Sophia Kim"/>
    <n v="29"/>
    <x v="1"/>
    <x v="1"/>
    <s v="United Arab Emirates"/>
    <x v="0"/>
    <n v="1500"/>
    <x v="4"/>
    <n v="300"/>
  </r>
  <r>
    <n v="116"/>
    <x v="36"/>
    <d v="2022-09-10T00:00:00"/>
    <d v="2022-09-15T00:00:00"/>
    <n v="5"/>
    <s v="Alex Ng"/>
    <n v="33"/>
    <x v="0"/>
    <x v="0"/>
    <s v="Cambodia"/>
    <x v="4"/>
    <n v="200"/>
    <x v="2"/>
    <n v="500"/>
  </r>
  <r>
    <n v="117"/>
    <x v="4"/>
    <d v="2022-02-05T00:00:00"/>
    <d v="2022-02-14T00:00:00"/>
    <n v="9"/>
    <s v="Alice Smith"/>
    <n v="32"/>
    <x v="0"/>
    <x v="1"/>
    <s v="American"/>
    <x v="0"/>
    <n v="1000"/>
    <x v="2"/>
    <n v="700"/>
  </r>
  <r>
    <n v="118"/>
    <x v="5"/>
    <d v="2022-03-15T00:00:00"/>
    <d v="2022-03-22T00:00:00"/>
    <n v="7"/>
    <s v="Bob Johnson"/>
    <n v="47"/>
    <x v="2"/>
    <x v="0"/>
    <s v="Canadian"/>
    <x v="0"/>
    <n v="1200"/>
    <x v="1"/>
    <n v="500"/>
  </r>
  <r>
    <n v="119"/>
    <x v="6"/>
    <d v="2022-05-01T00:00:00"/>
    <d v="2022-05-12T00:00:00"/>
    <n v="11"/>
    <s v="Cindy Chen"/>
    <n v="26"/>
    <x v="1"/>
    <x v="1"/>
    <s v="Chinese"/>
    <x v="3"/>
    <n v="800"/>
    <x v="2"/>
    <n v="1000"/>
  </r>
  <r>
    <n v="120"/>
    <x v="16"/>
    <d v="2022-06-10T00:00:00"/>
    <d v="2022-06-17T00:00:00"/>
    <n v="7"/>
    <s v="David Lee"/>
    <n v="38"/>
    <x v="0"/>
    <x v="0"/>
    <s v="Korean"/>
    <x v="0"/>
    <n v="900"/>
    <x v="1"/>
    <n v="400"/>
  </r>
  <r>
    <n v="121"/>
    <x v="2"/>
    <d v="2022-07-20T00:00:00"/>
    <d v="2022-07-30T00:00:00"/>
    <n v="10"/>
    <s v="Emily Kim"/>
    <n v="29"/>
    <x v="1"/>
    <x v="1"/>
    <s v="Korean"/>
    <x v="4"/>
    <n v="500"/>
    <x v="2"/>
    <n v="800"/>
  </r>
  <r>
    <n v="122"/>
    <x v="10"/>
    <d v="2022-08-08T00:00:00"/>
    <d v="2022-08-16T00:00:00"/>
    <n v="8"/>
    <s v="Frank Li"/>
    <n v="41"/>
    <x v="2"/>
    <x v="0"/>
    <s v="American"/>
    <x v="0"/>
    <n v="1300"/>
    <x v="2"/>
    <n v="600"/>
  </r>
  <r>
    <n v="123"/>
    <x v="37"/>
    <d v="2022-09-20T00:00:00"/>
    <d v="2022-09-30T00:00:00"/>
    <n v="10"/>
    <s v="Gina Lee"/>
    <n v="35"/>
    <x v="0"/>
    <x v="1"/>
    <s v="Korean"/>
    <x v="3"/>
    <n v="700"/>
    <x v="2"/>
    <n v="900"/>
  </r>
  <r>
    <n v="124"/>
    <x v="4"/>
    <d v="2022-10-05T00:00:00"/>
    <d v="2022-10-13T00:00:00"/>
    <n v="8"/>
    <s v="Henry Kim"/>
    <n v="24"/>
    <x v="1"/>
    <x v="0"/>
    <s v="Korean"/>
    <x v="0"/>
    <n v="1200"/>
    <x v="2"/>
    <n v="700"/>
  </r>
  <r>
    <n v="125"/>
    <x v="6"/>
    <d v="2022-11-11T00:00:00"/>
    <d v="2022-11-21T00:00:00"/>
    <n v="10"/>
    <s v="Isabella Chen"/>
    <n v="30"/>
    <x v="0"/>
    <x v="1"/>
    <s v="Chinese"/>
    <x v="3"/>
    <n v="900"/>
    <x v="2"/>
    <n v="1000"/>
  </r>
  <r>
    <n v="126"/>
    <x v="5"/>
    <d v="2022-12-24T00:00:00"/>
    <d v="2023-01-01T00:00:00"/>
    <n v="8"/>
    <s v="Jack Smith"/>
    <n v="28"/>
    <x v="1"/>
    <x v="0"/>
    <s v="American"/>
    <x v="4"/>
    <n v="400"/>
    <x v="2"/>
    <n v="700"/>
  </r>
  <r>
    <n v="127"/>
    <x v="2"/>
    <d v="2023-02-10T00:00:00"/>
    <d v="2023-02-18T00:00:00"/>
    <n v="8"/>
    <s v="Katie Johnson"/>
    <n v="33"/>
    <x v="0"/>
    <x v="1"/>
    <s v="Canadian"/>
    <x v="0"/>
    <n v="800"/>
    <x v="2"/>
    <n v="800"/>
  </r>
  <r>
    <n v="128"/>
    <x v="34"/>
    <s v="N/A"/>
    <s v="N/A"/>
    <s v="N/A"/>
    <s v="N/A"/>
    <s v="N/A"/>
    <x v="2"/>
    <x v="2"/>
    <s v="N/A"/>
    <x v="7"/>
    <s v="N/A"/>
    <x v="6"/>
    <s v="N/A"/>
  </r>
  <r>
    <n v="129"/>
    <x v="5"/>
    <d v="2023-05-01T00:00:00"/>
    <d v="2023-05-07T00:00:00"/>
    <n v="6"/>
    <s v="John Doe"/>
    <n v="35"/>
    <x v="0"/>
    <x v="0"/>
    <s v="American"/>
    <x v="0"/>
    <n v="5000"/>
    <x v="9"/>
    <n v="2500"/>
  </r>
  <r>
    <n v="130"/>
    <x v="4"/>
    <d v="2023-05-15T00:00:00"/>
    <d v="2023-05-22T00:00:00"/>
    <n v="7"/>
    <s v="Jane Smith"/>
    <n v="28"/>
    <x v="1"/>
    <x v="1"/>
    <s v="British"/>
    <x v="3"/>
    <n v="7000"/>
    <x v="1"/>
    <n v="1500"/>
  </r>
  <r>
    <n v="131"/>
    <x v="33"/>
    <d v="2023-06-01T00:00:00"/>
    <d v="2023-06-10T00:00:00"/>
    <n v="9"/>
    <s v="Michael Johnson"/>
    <n v="45"/>
    <x v="2"/>
    <x v="0"/>
    <s v="South African"/>
    <x v="4"/>
    <n v="3000"/>
    <x v="7"/>
    <n v="2000"/>
  </r>
  <r>
    <n v="132"/>
    <x v="6"/>
    <d v="2023-06-15T00:00:00"/>
    <d v="2023-06-21T00:00:00"/>
    <n v="6"/>
    <s v="Sarah Lee"/>
    <n v="31"/>
    <x v="0"/>
    <x v="1"/>
    <s v="Australian"/>
    <x v="0"/>
    <n v="6000"/>
    <x v="9"/>
    <n v="3000"/>
  </r>
  <r>
    <n v="133"/>
    <x v="16"/>
    <d v="2023-07-01T00:00:00"/>
    <d v="2023-07-08T00:00:00"/>
    <n v="7"/>
    <s v="David Kim"/>
    <n v="42"/>
    <x v="2"/>
    <x v="0"/>
    <s v="Korean"/>
    <x v="3"/>
    <n v="4000"/>
    <x v="1"/>
    <n v="1500"/>
  </r>
  <r>
    <n v="134"/>
    <x v="3"/>
    <d v="2023-07-15T00:00:00"/>
    <d v="2023-07-22T00:00:00"/>
    <n v="7"/>
    <s v="Emily Davis"/>
    <n v="27"/>
    <x v="1"/>
    <x v="1"/>
    <s v="American"/>
    <x v="0"/>
    <n v="8000"/>
    <x v="9"/>
    <n v="2500"/>
  </r>
  <r>
    <n v="135"/>
    <x v="7"/>
    <d v="2023-08-01T00:00:00"/>
    <d v="2023-08-10T00:00:00"/>
    <n v="9"/>
    <s v="Jose Perez"/>
    <n v="37"/>
    <x v="0"/>
    <x v="0"/>
    <s v="Brazilian"/>
    <x v="4"/>
    <n v="2500"/>
    <x v="7"/>
    <n v="2000"/>
  </r>
  <r>
    <n v="136"/>
    <x v="30"/>
    <d v="2023-08-15T00:00:00"/>
    <d v="2023-08-21T00:00:00"/>
    <n v="6"/>
    <s v="Emma Wilson"/>
    <n v="29"/>
    <x v="1"/>
    <x v="1"/>
    <s v="Canadian"/>
    <x v="0"/>
    <n v="5000"/>
    <x v="9"/>
    <n v="3000"/>
  </r>
  <r>
    <n v="137"/>
    <x v="17"/>
    <d v="2023-09-01T00:00:00"/>
    <d v="2023-09-08T00:00:00"/>
    <n v="7"/>
    <s v="Ryan Chen"/>
    <n v="34"/>
    <x v="0"/>
    <x v="0"/>
    <s v="Chinese"/>
    <x v="4"/>
    <n v="2000"/>
    <x v="1"/>
    <n v="1000"/>
  </r>
  <r>
    <n v="138"/>
    <x v="11"/>
    <d v="2023-09-15T00:00:00"/>
    <d v="2023-09-22T00:00:00"/>
    <n v="7"/>
    <s v="Sofia Rodriguez"/>
    <n v="25"/>
    <x v="1"/>
    <x v="1"/>
    <s v="Spanish"/>
    <x v="3"/>
    <n v="6000"/>
    <x v="9"/>
    <n v="2500"/>
  </r>
  <r>
    <n v="139"/>
    <x v="38"/>
    <d v="2023-10-01T00:00:00"/>
    <d v="2023-10-08T00:00:00"/>
    <n v="7"/>
    <s v="William Brown"/>
    <n v="39"/>
    <x v="0"/>
    <x v="0"/>
    <s v="New Zealander"/>
    <x v="0"/>
    <n v="7000"/>
    <x v="1"/>
    <n v="2500"/>
  </r>
  <r>
    <m/>
    <x v="39"/>
    <m/>
    <m/>
    <m/>
    <m/>
    <m/>
    <x v="3"/>
    <x v="3"/>
    <m/>
    <x v="9"/>
    <m/>
    <x v="1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n v="1"/>
    <s v="London"/>
    <d v="2023-05-01T00:00:00"/>
    <d v="2023-05-08T00:00:00"/>
    <n v="7"/>
    <s v="John Smith"/>
    <n v="35"/>
    <s v="30-40"/>
    <s v="Male"/>
    <s v="American"/>
    <x v="0"/>
    <n v="1200"/>
    <x v="0"/>
    <n v="600"/>
  </r>
  <r>
    <n v="2"/>
    <s v="Phuket"/>
    <d v="2023-06-15T00:00:00"/>
    <d v="2023-06-20T00:00:00"/>
    <n v="5"/>
    <s v="Jane Doe"/>
    <n v="28"/>
    <s v="Under 30"/>
    <s v="Female"/>
    <s v="Canadian"/>
    <x v="1"/>
    <n v="800"/>
    <x v="0"/>
    <n v="500"/>
  </r>
  <r>
    <n v="3"/>
    <s v="Bali"/>
    <d v="2023-07-01T00:00:00"/>
    <d v="2023-07-08T00:00:00"/>
    <n v="7"/>
    <s v="David Lee"/>
    <n v="45"/>
    <s v="Over 40"/>
    <s v="Male"/>
    <s v="Korean"/>
    <x v="2"/>
    <n v="1000"/>
    <x v="0"/>
    <n v="700"/>
  </r>
  <r>
    <n v="4"/>
    <s v="New York City"/>
    <d v="2023-08-15T00:00:00"/>
    <d v="2023-08-29T00:00:00"/>
    <n v="14"/>
    <s v="Sarah Johnson"/>
    <n v="29"/>
    <s v="Under 30"/>
    <s v="Female"/>
    <s v="British"/>
    <x v="0"/>
    <n v="2000"/>
    <x v="0"/>
    <n v="1000"/>
  </r>
  <r>
    <n v="5"/>
    <s v="Tokyo"/>
    <d v="2023-09-10T00:00:00"/>
    <d v="2023-09-17T00:00:00"/>
    <n v="7"/>
    <s v="Kim Nguyen"/>
    <n v="26"/>
    <s v="Under 30"/>
    <s v="Female"/>
    <s v="Vietnamese"/>
    <x v="3"/>
    <n v="700"/>
    <x v="1"/>
    <n v="200"/>
  </r>
  <r>
    <n v="6"/>
    <s v="Paris"/>
    <d v="2023-10-05T00:00:00"/>
    <d v="2023-10-10T00:00:00"/>
    <n v="5"/>
    <s v="Michael Brown"/>
    <n v="42"/>
    <s v="Over 40"/>
    <s v="Male"/>
    <s v="American"/>
    <x v="0"/>
    <n v="1500"/>
    <x v="0"/>
    <n v="800"/>
  </r>
  <r>
    <n v="7"/>
    <s v="Sydney"/>
    <d v="2023-11-20T00:00:00"/>
    <d v="2023-11-30T00:00:00"/>
    <n v="10"/>
    <s v="Emily Davis"/>
    <n v="33"/>
    <s v="30-40"/>
    <s v="Female"/>
    <s v="Australian"/>
    <x v="4"/>
    <n v="500"/>
    <x v="0"/>
    <n v="1200"/>
  </r>
  <r>
    <n v="8"/>
    <s v="Rio de Janeiro"/>
    <d v="2024-01-05T00:00:00"/>
    <d v="2024-01-12T00:00:00"/>
    <n v="7"/>
    <s v="Lucas Santos"/>
    <n v="25"/>
    <s v="Under 30"/>
    <s v="Male"/>
    <s v="Brazilian"/>
    <x v="3"/>
    <n v="900"/>
    <x v="0"/>
    <n v="600"/>
  </r>
  <r>
    <n v="9"/>
    <s v="Amsterdam"/>
    <d v="2024-02-14T00:00:00"/>
    <d v="2024-02-21T00:00:00"/>
    <n v="7"/>
    <s v="Laura Janssen"/>
    <n v="31"/>
    <s v="30-40"/>
    <s v="Female"/>
    <s v="Dutch"/>
    <x v="0"/>
    <n v="1200"/>
    <x v="1"/>
    <n v="200"/>
  </r>
  <r>
    <n v="10"/>
    <s v="Dubai"/>
    <d v="2024-03-10T00:00:00"/>
    <d v="2024-03-17T00:00:00"/>
    <n v="7"/>
    <s v="Mohammed Ali"/>
    <n v="39"/>
    <s v="30-40"/>
    <s v="Male"/>
    <s v="Emirati"/>
    <x v="1"/>
    <n v="2500"/>
    <x v="0"/>
    <n v="800"/>
  </r>
  <r>
    <n v="11"/>
    <s v="Cancún"/>
    <d v="2024-04-01T00:00:00"/>
    <d v="2024-04-08T00:00:00"/>
    <n v="7"/>
    <s v="Ana Hernandez"/>
    <n v="27"/>
    <s v="Under 30"/>
    <s v="Female"/>
    <s v="Mexican"/>
    <x v="0"/>
    <n v="1000"/>
    <x v="0"/>
    <n v="500"/>
  </r>
  <r>
    <n v="12"/>
    <s v="Barcelona"/>
    <d v="2024-05-15T00:00:00"/>
    <d v="2024-05-22T00:00:00"/>
    <n v="7"/>
    <s v="Carlos Garcia"/>
    <n v="36"/>
    <s v="30-40"/>
    <s v="Male"/>
    <s v="Spanish"/>
    <x v="3"/>
    <n v="800"/>
    <x v="1"/>
    <n v="100"/>
  </r>
  <r>
    <n v="13"/>
    <s v="Honolulu"/>
    <d v="2024-06-10T00:00:00"/>
    <d v="2024-06-18T00:00:00"/>
    <n v="8"/>
    <s v="Lily Wong"/>
    <n v="29"/>
    <s v="Under 30"/>
    <s v="Female"/>
    <s v="Chinese"/>
    <x v="1"/>
    <n v="3000"/>
    <x v="0"/>
    <n v="1200"/>
  </r>
  <r>
    <n v="14"/>
    <s v="Berlin"/>
    <d v="2024-07-01T00:00:00"/>
    <d v="2024-07-10T00:00:00"/>
    <n v="9"/>
    <s v="Hans Mueller"/>
    <n v="48"/>
    <s v="Over 40"/>
    <s v="Male"/>
    <s v="German"/>
    <x v="0"/>
    <n v="1400"/>
    <x v="0"/>
    <n v="700"/>
  </r>
  <r>
    <n v="15"/>
    <s v="Marrakesh"/>
    <d v="2024-08-20T00:00:00"/>
    <d v="2024-08-27T00:00:00"/>
    <n v="7"/>
    <s v="Fatima Khouri"/>
    <n v="26"/>
    <s v="Under 30"/>
    <s v="Female"/>
    <s v="Moroccan"/>
    <x v="5"/>
    <n v="600"/>
    <x v="0"/>
    <n v="400"/>
  </r>
  <r>
    <n v="16"/>
    <s v="Edinburgh"/>
    <d v="2024-09-05T00:00:00"/>
    <d v="2024-09-12T00:00:00"/>
    <n v="7"/>
    <s v="James MacKenzie"/>
    <n v="32"/>
    <s v="30-40"/>
    <s v="Male"/>
    <s v="Scottish"/>
    <x v="0"/>
    <n v="900"/>
    <x v="1"/>
    <n v="150"/>
  </r>
  <r>
    <n v="17"/>
    <s v="Paris"/>
    <d v="2023-09-01T00:00:00"/>
    <d v="2023-09-10T00:00:00"/>
    <n v="9"/>
    <s v="Sarah Johnson"/>
    <n v="30"/>
    <s v="30-40"/>
    <s v="Female"/>
    <s v="American"/>
    <x v="0"/>
    <n v="900"/>
    <x v="0"/>
    <n v="400"/>
  </r>
  <r>
    <n v="18"/>
    <s v="Bali"/>
    <d v="2023-08-15T00:00:00"/>
    <d v="2023-08-25T00:00:00"/>
    <n v="10"/>
    <s v="Michael Chang"/>
    <n v="28"/>
    <s v="Under 30"/>
    <s v="Male"/>
    <s v="Chinese"/>
    <x v="1"/>
    <n v="1500"/>
    <x v="0"/>
    <n v="700"/>
  </r>
  <r>
    <n v="19"/>
    <s v="London"/>
    <d v="2023-07-22T00:00:00"/>
    <d v="2023-07-28T00:00:00"/>
    <n v="6"/>
    <s v="Olivia Rodriguez"/>
    <n v="35"/>
    <s v="30-40"/>
    <s v="Female"/>
    <s v="British"/>
    <x v="0"/>
    <n v="1200"/>
    <x v="1"/>
    <n v="150"/>
  </r>
  <r>
    <n v="20"/>
    <s v="Tokyo"/>
    <d v="2023-10-05T00:00:00"/>
    <d v="2023-10-15T00:00:00"/>
    <n v="10"/>
    <s v="Kenji Nakamura"/>
    <n v="45"/>
    <s v="Over 40"/>
    <s v="Male"/>
    <s v="Japanese"/>
    <x v="0"/>
    <n v="1200"/>
    <x v="0"/>
    <n v="800"/>
  </r>
  <r>
    <n v="21"/>
    <s v="New York City"/>
    <d v="2023-11-20T00:00:00"/>
    <d v="2023-11-25T00:00:00"/>
    <n v="5"/>
    <s v="Emily Lee"/>
    <n v="27"/>
    <s v="Under 30"/>
    <s v="Female"/>
    <s v="American"/>
    <x v="3"/>
    <n v="600"/>
    <x v="2"/>
    <n v="100"/>
  </r>
  <r>
    <n v="22"/>
    <s v="Sydney"/>
    <d v="2023-12-05T00:00:00"/>
    <d v="2023-12-12T00:00:00"/>
    <n v="7"/>
    <s v="James Wilson"/>
    <n v="32"/>
    <s v="30-40"/>
    <s v="Male"/>
    <s v="Australian"/>
    <x v="0"/>
    <n v="1000"/>
    <x v="0"/>
    <n v="600"/>
  </r>
  <r>
    <n v="23"/>
    <s v="Rome"/>
    <d v="2023-11-01T00:00:00"/>
    <d v="2023-11-08T00:00:00"/>
    <n v="7"/>
    <s v="Sofia Russo"/>
    <n v="29"/>
    <s v="Under 30"/>
    <s v="Female"/>
    <s v="Italian"/>
    <x v="3"/>
    <n v="700"/>
    <x v="1"/>
    <n v="80"/>
  </r>
  <r>
    <n v="24"/>
    <s v="Bangkok"/>
    <d v="2023-09-15T00:00:00"/>
    <d v="2023-09-23T00:00:00"/>
    <n v="8"/>
    <s v="Raj Patel"/>
    <n v="40"/>
    <s v="30-40"/>
    <s v="Male"/>
    <s v="Indian"/>
    <x v="4"/>
    <n v="400"/>
    <x v="0"/>
    <n v="500"/>
  </r>
  <r>
    <n v="25"/>
    <s v="Paris"/>
    <d v="2023-12-22T00:00:00"/>
    <d v="2023-12-28T00:00:00"/>
    <n v="6"/>
    <s v="Lily Nguyen"/>
    <n v="24"/>
    <s v="Under 30"/>
    <s v="Female"/>
    <s v="Vietnamese"/>
    <x v="0"/>
    <n v="1400"/>
    <x v="1"/>
    <n v="100"/>
  </r>
  <r>
    <n v="26"/>
    <s v="Hawaii"/>
    <d v="2023-08-01T00:00:00"/>
    <d v="2023-08-10T00:00:00"/>
    <n v="9"/>
    <s v="David Kim"/>
    <n v="34"/>
    <s v="30-40"/>
    <s v="Male"/>
    <s v="Korean"/>
    <x v="1"/>
    <n v="2000"/>
    <x v="0"/>
    <n v="800"/>
  </r>
  <r>
    <n v="27"/>
    <s v="Barcelona"/>
    <d v="2023-10-20T00:00:00"/>
    <d v="2023-10-28T00:00:00"/>
    <n v="8"/>
    <s v="Maria Garcia"/>
    <n v="31"/>
    <s v="30-40"/>
    <s v="Female"/>
    <s v="Spanish"/>
    <x v="0"/>
    <n v="1100"/>
    <x v="1"/>
    <n v="150"/>
  </r>
  <r>
    <n v="28"/>
    <s v="Japan"/>
    <d v="2022-05-10T00:00:00"/>
    <d v="2022-05-18T00:00:00"/>
    <n v="8"/>
    <s v="Alice Smith"/>
    <n v="30"/>
    <s v="30-40"/>
    <s v="Female"/>
    <s v="American"/>
    <x v="0"/>
    <n v="800"/>
    <x v="0"/>
    <n v="500"/>
  </r>
  <r>
    <n v="29"/>
    <s v="Thailand"/>
    <d v="2022-06-15T00:00:00"/>
    <d v="2022-06-22T00:00:00"/>
    <n v="7"/>
    <s v="Bob Johnson"/>
    <n v="45"/>
    <s v="Over 40"/>
    <s v="Male"/>
    <s v="Canadian"/>
    <x v="4"/>
    <n v="200"/>
    <x v="1"/>
    <n v="150"/>
  </r>
  <r>
    <n v="30"/>
    <s v="France"/>
    <d v="2022-07-02T00:00:00"/>
    <d v="2022-07-11T00:00:00"/>
    <n v="9"/>
    <s v="Charlie Lee"/>
    <n v="25"/>
    <s v="Under 30"/>
    <s v="Male"/>
    <s v="Korean"/>
    <x v="3"/>
    <n v="600"/>
    <x v="3"/>
    <n v="300"/>
  </r>
  <r>
    <n v="31"/>
    <s v="Australia"/>
    <d v="2022-08-20T00:00:00"/>
    <d v="2022-09-02T00:00:00"/>
    <n v="13"/>
    <s v="Emma Davis"/>
    <n v="28"/>
    <s v="Under 30"/>
    <s v="Female"/>
    <s v="British"/>
    <x v="0"/>
    <n v="1000"/>
    <x v="3"/>
    <n v="500"/>
  </r>
  <r>
    <n v="32"/>
    <s v="Brazil"/>
    <d v="2022-09-05T00:00:00"/>
    <d v="2022-09-14T00:00:00"/>
    <n v="9"/>
    <s v="Olivia Martin"/>
    <n v="33"/>
    <s v="30-40"/>
    <s v="Female"/>
    <s v="Australian"/>
    <x v="4"/>
    <n v="150"/>
    <x v="2"/>
    <n v="50"/>
  </r>
  <r>
    <n v="33"/>
    <s v="Greece"/>
    <d v="2022-10-12T00:00:00"/>
    <d v="2022-10-20T00:00:00"/>
    <n v="8"/>
    <s v="Harry Wilson"/>
    <n v="20"/>
    <s v="Under 30"/>
    <s v="Male"/>
    <s v="American"/>
    <x v="3"/>
    <n v="400"/>
    <x v="0"/>
    <n v="600"/>
  </r>
  <r>
    <n v="34"/>
    <s v="Egypt"/>
    <d v="2022-11-08T00:00:00"/>
    <d v="2022-11-15T00:00:00"/>
    <n v="7"/>
    <s v="Sophia Lee"/>
    <n v="37"/>
    <s v="30-40"/>
    <s v="Female"/>
    <s v="Canadian"/>
    <x v="0"/>
    <n v="700"/>
    <x v="1"/>
    <n v="100"/>
  </r>
  <r>
    <n v="35"/>
    <s v="Mexico"/>
    <d v="2023-01-05T00:00:00"/>
    <d v="2023-01-15T00:00:00"/>
    <n v="10"/>
    <s v="James Brown"/>
    <n v="42"/>
    <s v="Over 40"/>
    <s v="Male"/>
    <s v="British"/>
    <x v="3"/>
    <n v="500"/>
    <x v="0"/>
    <n v="800"/>
  </r>
  <r>
    <n v="36"/>
    <s v="Italy"/>
    <d v="2023-02-14T00:00:00"/>
    <d v="2023-02-20T00:00:00"/>
    <n v="6"/>
    <s v="Mia Johnson"/>
    <n v="31"/>
    <s v="30-40"/>
    <s v="Female"/>
    <s v="American"/>
    <x v="4"/>
    <n v="180"/>
    <x v="1"/>
    <n v="120"/>
  </r>
  <r>
    <n v="37"/>
    <s v="Spain"/>
    <d v="2023-03-23T00:00:00"/>
    <d v="2023-03-31T00:00:00"/>
    <n v="8"/>
    <s v="William Davis"/>
    <n v="27"/>
    <s v="Under 30"/>
    <s v="Male"/>
    <s v="Korean"/>
    <x v="0"/>
    <n v="900"/>
    <x v="3"/>
    <n v="400"/>
  </r>
  <r>
    <n v="38"/>
    <s v="Canada"/>
    <d v="2023-04-19T00:00:00"/>
    <d v="2023-04-26T00:00:00"/>
    <n v="7"/>
    <s v="Amelia Brown"/>
    <n v="38"/>
    <s v="30-40"/>
    <s v="Female"/>
    <s v="Australian"/>
    <x v="3"/>
    <n v="350"/>
    <x v="2"/>
    <n v="75"/>
  </r>
  <r>
    <n v="39"/>
    <s v="Paris"/>
    <d v="2022-06-12T00:00:00"/>
    <d v="2022-06-19T00:00:00"/>
    <n v="7"/>
    <s v="Mia Johnson"/>
    <n v="25"/>
    <s v="Under 30"/>
    <s v="Female"/>
    <s v="American"/>
    <x v="0"/>
    <n v="1400"/>
    <x v="0"/>
    <n v="600"/>
  </r>
  <r>
    <n v="40"/>
    <s v="Sydney"/>
    <d v="2023-01-02T00:00:00"/>
    <d v="2023-01-09T00:00:00"/>
    <n v="7"/>
    <s v="Adam Lee"/>
    <n v="33"/>
    <s v="30-40"/>
    <s v="Male"/>
    <s v="Canadian"/>
    <x v="3"/>
    <n v="800"/>
    <x v="1"/>
    <n v="150"/>
  </r>
  <r>
    <n v="41"/>
    <s v="Tokyo"/>
    <d v="2022-12-10T00:00:00"/>
    <d v="2022-12-18T00:00:00"/>
    <n v="8"/>
    <s v="Sarah Wong"/>
    <n v="28"/>
    <s v="Under 30"/>
    <s v="Female"/>
    <s v="Chinese"/>
    <x v="4"/>
    <n v="500"/>
    <x v="0"/>
    <n v="900"/>
  </r>
  <r>
    <n v="42"/>
    <s v="Cancún"/>
    <d v="2023-07-01T00:00:00"/>
    <d v="2023-07-08T00:00:00"/>
    <n v="7"/>
    <s v="John Smith"/>
    <n v="45"/>
    <s v="Over 40"/>
    <s v="Male"/>
    <s v="American"/>
    <x v="1"/>
    <n v="2200"/>
    <x v="0"/>
    <n v="800"/>
  </r>
  <r>
    <n v="43"/>
    <s v="Rio de Janeiro"/>
    <d v="2022-11-20T00:00:00"/>
    <d v="2022-11-27T00:00:00"/>
    <n v="7"/>
    <s v="Maria Silva"/>
    <n v="30"/>
    <s v="30-40"/>
    <s v="Female"/>
    <s v="Brazilian"/>
    <x v="0"/>
    <n v="1200"/>
    <x v="0"/>
    <n v="700"/>
  </r>
  <r>
    <n v="44"/>
    <s v="London"/>
    <d v="2023-03-05T00:00:00"/>
    <d v="2023-03-12T00:00:00"/>
    <n v="7"/>
    <s v="Peter Brown"/>
    <n v="55"/>
    <s v="Over 40"/>
    <s v="Male"/>
    <s v="British"/>
    <x v="3"/>
    <n v="900"/>
    <x v="1"/>
    <n v="100"/>
  </r>
  <r>
    <n v="45"/>
    <s v="Barcelona"/>
    <d v="2023-08-18T00:00:00"/>
    <d v="2023-08-25T00:00:00"/>
    <n v="7"/>
    <s v="Emma Garcia"/>
    <n v="27"/>
    <s v="Under 30"/>
    <s v="Female"/>
    <s v="Spanish"/>
    <x v="4"/>
    <n v="600"/>
    <x v="0"/>
    <n v="600"/>
  </r>
  <r>
    <n v="46"/>
    <s v="New York City"/>
    <d v="2022-09-15T00:00:00"/>
    <d v="2022-09-22T00:00:00"/>
    <n v="7"/>
    <s v="Michael Davis"/>
    <n v="41"/>
    <s v="Over 40"/>
    <s v="Male"/>
    <s v="American"/>
    <x v="0"/>
    <n v="1500"/>
    <x v="0"/>
    <n v="500"/>
  </r>
  <r>
    <n v="47"/>
    <s v="Bangkok"/>
    <d v="2023-05-01T00:00:00"/>
    <d v="2023-05-07T00:00:00"/>
    <n v="6"/>
    <s v="Nina Patel"/>
    <n v="29"/>
    <s v="Under 30"/>
    <s v="Female"/>
    <s v="Indian"/>
    <x v="3"/>
    <n v="500"/>
    <x v="2"/>
    <n v="50"/>
  </r>
  <r>
    <n v="48"/>
    <s v="Vancouver"/>
    <d v="2022-07-10T00:00:00"/>
    <d v="2022-07-17T00:00:00"/>
    <n v="7"/>
    <s v="Kevin Kim"/>
    <n v="24"/>
    <s v="Under 30"/>
    <s v="Male"/>
    <s v="Korean"/>
    <x v="4"/>
    <n v="400"/>
    <x v="1"/>
    <n v="150"/>
  </r>
  <r>
    <n v="49"/>
    <s v="Amsterdam"/>
    <d v="2023-06-20T00:00:00"/>
    <d v="2023-06-28T00:00:00"/>
    <n v="8"/>
    <s v="Laura van den Berg"/>
    <n v="31"/>
    <s v="30-40"/>
    <s v="Female"/>
    <s v="Dutch"/>
    <x v="0"/>
    <n v="1100"/>
    <x v="0"/>
    <n v="700"/>
  </r>
  <r>
    <n v="50"/>
    <s v="Paris"/>
    <d v="2023-08-15T00:00:00"/>
    <d v="2023-08-22T00:00:00"/>
    <n v="7"/>
    <s v="Jennifer Nguyen"/>
    <n v="31"/>
    <s v="30-40"/>
    <s v="Female"/>
    <s v="Canadian"/>
    <x v="0"/>
    <n v="1200"/>
    <x v="1"/>
    <n v="300"/>
  </r>
  <r>
    <n v="51"/>
    <s v="Tokyo"/>
    <d v="2023-10-10T00:00:00"/>
    <d v="2023-10-20T00:00:00"/>
    <n v="10"/>
    <s v="David Kim"/>
    <n v="25"/>
    <s v="Under 30"/>
    <s v="Male"/>
    <s v="American"/>
    <x v="4"/>
    <n v="500"/>
    <x v="2"/>
    <n v="100"/>
  </r>
  <r>
    <n v="52"/>
    <s v="Sydney"/>
    <d v="2023-11-05T00:00:00"/>
    <d v="2023-11-12T00:00:00"/>
    <n v="7"/>
    <s v="Rachel Lee"/>
    <n v="27"/>
    <s v="Under 30"/>
    <s v="Female"/>
    <s v="South Korean"/>
    <x v="3"/>
    <n v="900"/>
    <x v="3"/>
    <n v="200"/>
  </r>
  <r>
    <n v="53"/>
    <s v="New York City"/>
    <d v="2023-12-24T00:00:00"/>
    <d v="2023-12-31T00:00:00"/>
    <n v="7"/>
    <s v="Jessica Wong"/>
    <n v="28"/>
    <s v="Under 30"/>
    <s v="Female"/>
    <s v="Canadian"/>
    <x v="0"/>
    <n v="1400"/>
    <x v="0"/>
    <n v="800"/>
  </r>
  <r>
    <n v="54"/>
    <s v="Rio de Janeiro"/>
    <d v="2024-01-15T00:00:00"/>
    <d v="2024-01-24T00:00:00"/>
    <n v="9"/>
    <s v="Felipe Almeida"/>
    <n v="30"/>
    <s v="30-40"/>
    <s v="Male"/>
    <s v="Brazilian"/>
    <x v="3"/>
    <n v="800"/>
    <x v="1"/>
    <n v="150"/>
  </r>
  <r>
    <n v="55"/>
    <s v="Bangkok"/>
    <d v="2024-02-01T00:00:00"/>
    <d v="2024-02-09T00:00:00"/>
    <n v="8"/>
    <s v="Nisa Patel"/>
    <n v="23"/>
    <s v="Under 30"/>
    <s v="Female"/>
    <s v="Indian"/>
    <x v="4"/>
    <n v="400"/>
    <x v="2"/>
    <n v="50"/>
  </r>
  <r>
    <n v="56"/>
    <s v="London"/>
    <d v="2024-03-15T00:00:00"/>
    <d v="2024-03-23T00:00:00"/>
    <n v="8"/>
    <s v="Ben Smith"/>
    <n v="35"/>
    <s v="30-40"/>
    <s v="Male"/>
    <s v="British"/>
    <x v="0"/>
    <n v="1000"/>
    <x v="1"/>
    <n v="200"/>
  </r>
  <r>
    <n v="57"/>
    <s v="Barcelona"/>
    <d v="2024-04-05T00:00:00"/>
    <d v="2024-04-13T00:00:00"/>
    <n v="8"/>
    <s v="Laura Gomez"/>
    <n v="29"/>
    <s v="Under 30"/>
    <s v="Female"/>
    <s v="Spanish"/>
    <x v="3"/>
    <n v="700"/>
    <x v="3"/>
    <n v="250"/>
  </r>
  <r>
    <n v="58"/>
    <s v="Seoul"/>
    <d v="2024-05-10T00:00:00"/>
    <d v="2024-05-18T00:00:00"/>
    <n v="8"/>
    <s v="Park Min Woo"/>
    <n v="27"/>
    <s v="Under 30"/>
    <s v="Male"/>
    <s v="South Korean"/>
    <x v="4"/>
    <n v="500"/>
    <x v="4"/>
    <n v="20"/>
  </r>
  <r>
    <n v="59"/>
    <s v="Los Angeles"/>
    <d v="2024-06-20T00:00:00"/>
    <d v="2024-06-27T00:00:00"/>
    <n v="7"/>
    <s v="Michael Chen"/>
    <n v="26"/>
    <s v="Under 30"/>
    <s v="Male"/>
    <s v="Chinese"/>
    <x v="0"/>
    <n v="1200"/>
    <x v="3"/>
    <n v="300"/>
  </r>
  <r>
    <n v="60"/>
    <s v="Rome"/>
    <d v="2024-07-15T00:00:00"/>
    <d v="2024-07-23T00:00:00"/>
    <n v="8"/>
    <s v="Sofia Rossi"/>
    <n v="33"/>
    <s v="30-40"/>
    <s v="Female"/>
    <s v="Italian"/>
    <x v="3"/>
    <n v="800"/>
    <x v="1"/>
    <n v="100"/>
  </r>
  <r>
    <n v="61"/>
    <s v="Paris"/>
    <d v="2022-07-12T00:00:00"/>
    <d v="2022-07-18T00:00:00"/>
    <n v="6"/>
    <s v="Rachel Sanders"/>
    <n v="35"/>
    <s v="30-40"/>
    <s v="Female"/>
    <s v="American"/>
    <x v="0"/>
    <n v="1200"/>
    <x v="0"/>
    <n v="800"/>
  </r>
  <r>
    <n v="62"/>
    <s v="Tokyo"/>
    <d v="2022-09-03T00:00:00"/>
    <d v="2022-09-10T00:00:00"/>
    <n v="7"/>
    <s v="Kenji Nakamura"/>
    <n v="28"/>
    <s v="Under 30"/>
    <s v="Male"/>
    <s v="Japanese"/>
    <x v="4"/>
    <n v="400"/>
    <x v="1"/>
    <n v="300"/>
  </r>
  <r>
    <n v="63"/>
    <s v="Cape Town"/>
    <d v="2023-01-07T00:00:00"/>
    <d v="2023-01-16T00:00:00"/>
    <n v="9"/>
    <s v="Emily Watson"/>
    <n v="29"/>
    <s v="Under 30"/>
    <s v="Female"/>
    <s v="British"/>
    <x v="6"/>
    <n v="800"/>
    <x v="3"/>
    <n v="200"/>
  </r>
  <r>
    <n v="64"/>
    <s v="Sydney"/>
    <d v="2023-06-23T00:00:00"/>
    <d v="2023-06-29T00:00:00"/>
    <n v="6"/>
    <s v="David Lee"/>
    <n v="43"/>
    <s v="Over 40"/>
    <s v="Male"/>
    <s v="Australian"/>
    <x v="0"/>
    <n v="1500"/>
    <x v="0"/>
    <n v="1200"/>
  </r>
  <r>
    <n v="65"/>
    <s v="Barcelona"/>
    <d v="2023-08-18T00:00:00"/>
    <d v="2023-08-25T00:00:00"/>
    <n v="7"/>
    <s v="Ana Rodriguez"/>
    <n v="31"/>
    <s v="30-40"/>
    <s v="Female"/>
    <s v="Spanish"/>
    <x v="6"/>
    <n v="900"/>
    <x v="0"/>
    <n v="700"/>
  </r>
  <r>
    <n v="66"/>
    <s v="Bali"/>
    <d v="2024-02-01T00:00:00"/>
    <d v="2024-02-08T00:00:00"/>
    <n v="7"/>
    <s v="Tom Wilson"/>
    <n v="27"/>
    <s v="Under 30"/>
    <s v="Male"/>
    <s v="American"/>
    <x v="1"/>
    <n v="2200"/>
    <x v="0"/>
    <n v="1000"/>
  </r>
  <r>
    <n v="67"/>
    <s v="Paris"/>
    <d v="2024-05-06T00:00:00"/>
    <d v="2024-05-12T00:00:00"/>
    <n v="6"/>
    <s v="Olivia Green"/>
    <n v="39"/>
    <s v="30-40"/>
    <s v="Female"/>
    <s v="French"/>
    <x v="0"/>
    <n v="1100"/>
    <x v="1"/>
    <n v="200"/>
  </r>
  <r>
    <n v="68"/>
    <s v="New York City"/>
    <d v="2024-07-20T00:00:00"/>
    <d v="2024-07-26T00:00:00"/>
    <n v="6"/>
    <s v="James Chen"/>
    <n v="25"/>
    <s v="Under 30"/>
    <s v="Male"/>
    <s v="American"/>
    <x v="6"/>
    <n v="1000"/>
    <x v="0"/>
    <n v="800"/>
  </r>
  <r>
    <n v="69"/>
    <s v="Bangkok"/>
    <d v="2024-09-08T00:00:00"/>
    <d v="2024-09-16T00:00:00"/>
    <n v="8"/>
    <s v="Lila Patel"/>
    <n v="33"/>
    <s v="30-40"/>
    <s v="Female"/>
    <s v="Indian"/>
    <x v="4"/>
    <n v="300"/>
    <x v="0"/>
    <n v="700"/>
  </r>
  <r>
    <n v="70"/>
    <s v="Rome"/>
    <d v="2025-02-14T00:00:00"/>
    <d v="2025-02-20T00:00:00"/>
    <n v="6"/>
    <s v="Marco Rossi"/>
    <n v="41"/>
    <s v="Over 40"/>
    <s v="Male"/>
    <s v="Italian"/>
    <x v="0"/>
    <n v="1300"/>
    <x v="1"/>
    <n v="100"/>
  </r>
  <r>
    <n v="71"/>
    <s v="Bali"/>
    <d v="2025-05-21T00:00:00"/>
    <d v="2025-05-29T00:00:00"/>
    <n v="8"/>
    <s v="Sarah Brown"/>
    <n v="37"/>
    <s v="30-40"/>
    <s v="Female"/>
    <s v="British"/>
    <x v="1"/>
    <n v="1800"/>
    <x v="0"/>
    <n v="1000"/>
  </r>
  <r>
    <n v="72"/>
    <s v="N/A"/>
    <s v="N/A"/>
    <s v="N/A"/>
    <s v="N/A"/>
    <s v="N/A"/>
    <s v="N/A"/>
    <s v="Over 40"/>
    <s v="N/A"/>
    <s v="N/A"/>
    <x v="7"/>
    <s v="N/A"/>
    <x v="5"/>
    <s v="N/A"/>
  </r>
  <r>
    <n v="73"/>
    <s v="Bali"/>
    <d v="2022-08-05T00:00:00"/>
    <d v="2022-08-12T00:00:00"/>
    <n v="7"/>
    <s v="Sarah Lee"/>
    <n v="35"/>
    <s v="30-40"/>
    <s v="Female"/>
    <s v="South Korean"/>
    <x v="1"/>
    <n v="500"/>
    <x v="0"/>
    <n v="800"/>
  </r>
  <r>
    <n v="74"/>
    <s v="Tokyo"/>
    <d v="2023-01-01T00:00:00"/>
    <d v="2023-01-09T00:00:00"/>
    <n v="8"/>
    <s v="Alex Kim"/>
    <n v="29"/>
    <s v="Under 30"/>
    <s v="Male"/>
    <s v="American"/>
    <x v="0"/>
    <n v="1000"/>
    <x v="1"/>
    <n v="200"/>
  </r>
  <r>
    <n v="75"/>
    <s v="Cancún"/>
    <d v="2023-04-15T00:00:00"/>
    <d v="2023-04-22T00:00:00"/>
    <n v="7"/>
    <s v="Maria Hernandez"/>
    <n v="42"/>
    <s v="Over 40"/>
    <s v="Female"/>
    <s v="Mexican"/>
    <x v="1"/>
    <n v="800"/>
    <x v="0"/>
    <n v="500"/>
  </r>
  <r>
    <n v="76"/>
    <s v="Paris"/>
    <d v="2023-06-07T00:00:00"/>
    <d v="2023-06-14T00:00:00"/>
    <n v="7"/>
    <s v="John Smith"/>
    <n v="46"/>
    <s v="Over 40"/>
    <s v="Male"/>
    <s v="British"/>
    <x v="0"/>
    <n v="1200"/>
    <x v="0"/>
    <n v="700"/>
  </r>
  <r>
    <n v="77"/>
    <s v="Cape Town"/>
    <d v="2023-09-01T00:00:00"/>
    <d v="2023-09-10T00:00:00"/>
    <n v="9"/>
    <s v="Mark Johnson"/>
    <n v="31"/>
    <s v="30-40"/>
    <s v="Male"/>
    <s v="South African"/>
    <x v="8"/>
    <n v="400"/>
    <x v="3"/>
    <n v="300"/>
  </r>
  <r>
    <n v="78"/>
    <s v="Bali"/>
    <d v="2023-11-12T00:00:00"/>
    <d v="2023-11-19T00:00:00"/>
    <n v="7"/>
    <s v="Amanda Chen"/>
    <n v="25"/>
    <s v="Under 30"/>
    <s v="Female"/>
    <s v="Taiwanese"/>
    <x v="1"/>
    <n v="600"/>
    <x v="0"/>
    <n v="700"/>
  </r>
  <r>
    <n v="79"/>
    <s v="Sydney"/>
    <d v="2024-02-05T00:00:00"/>
    <d v="2024-02-12T00:00:00"/>
    <n v="7"/>
    <s v="David Lee"/>
    <n v="38"/>
    <s v="30-40"/>
    <s v="Male"/>
    <s v="Australian"/>
    <x v="0"/>
    <n v="900"/>
    <x v="0"/>
    <n v="600"/>
  </r>
  <r>
    <n v="80"/>
    <s v="Bangkok"/>
    <d v="2024-05-15T00:00:00"/>
    <d v="2024-05-22T00:00:00"/>
    <n v="7"/>
    <s v="Nana Kwon"/>
    <n v="27"/>
    <s v="Under 30"/>
    <s v="Female"/>
    <s v="Korean"/>
    <x v="0"/>
    <n v="400"/>
    <x v="0"/>
    <n v="400"/>
  </r>
  <r>
    <n v="81"/>
    <s v="New York City"/>
    <d v="2024-08-20T00:00:00"/>
    <d v="2024-08-27T00:00:00"/>
    <n v="7"/>
    <s v="Tom Hanks"/>
    <n v="60"/>
    <s v="Over 40"/>
    <s v="Male"/>
    <s v="American"/>
    <x v="0"/>
    <n v="1500"/>
    <x v="0"/>
    <n v="1000"/>
  </r>
  <r>
    <n v="82"/>
    <s v="Phuket"/>
    <d v="2025-01-01T00:00:00"/>
    <d v="2025-01-08T00:00:00"/>
    <n v="7"/>
    <s v="Emma Watson"/>
    <n v="32"/>
    <s v="30-40"/>
    <s v="Female"/>
    <s v="British"/>
    <x v="1"/>
    <n v="700"/>
    <x v="0"/>
    <n v="800"/>
  </r>
  <r>
    <n v="83"/>
    <s v="Rome"/>
    <d v="2025-04-15T00:00:00"/>
    <d v="2025-04-22T00:00:00"/>
    <n v="7"/>
    <s v="James Kim"/>
    <n v="41"/>
    <s v="Over 40"/>
    <s v="Male"/>
    <s v="American"/>
    <x v="0"/>
    <n v="100"/>
    <x v="5"/>
    <s v="N/A"/>
  </r>
  <r>
    <n v="84"/>
    <s v="Paris"/>
    <d v="2021-06-15T00:00:00"/>
    <d v="2021-06-20T00:00:00"/>
    <n v="6"/>
    <s v="John Smith"/>
    <n v="35"/>
    <s v="30-40"/>
    <s v="Male"/>
    <s v="American"/>
    <x v="0"/>
    <n v="800"/>
    <x v="0"/>
    <n v="500"/>
  </r>
  <r>
    <n v="85"/>
    <s v="Tokyo"/>
    <d v="2021-07-01T00:00:00"/>
    <d v="2021-07-10T00:00:00"/>
    <n v="10"/>
    <s v="Sarah Lee"/>
    <n v="28"/>
    <s v="Under 30"/>
    <s v="Female"/>
    <s v="Korean"/>
    <x v="3"/>
    <n v="500"/>
    <x v="1"/>
    <n v="300"/>
  </r>
  <r>
    <n v="86"/>
    <s v="Bali"/>
    <d v="2021-08-10T00:00:00"/>
    <d v="2021-08-20T00:00:00"/>
    <n v="11"/>
    <s v="Maria Garcia"/>
    <n v="42"/>
    <s v="Over 40"/>
    <s v="Female"/>
    <s v="Spanish"/>
    <x v="1"/>
    <n v="1200"/>
    <x v="0"/>
    <n v="700"/>
  </r>
  <r>
    <n v="87"/>
    <s v="Sydney"/>
    <d v="2021-09-01T00:00:00"/>
    <d v="2021-09-10T00:00:00"/>
    <n v="9"/>
    <s v="David Lee"/>
    <n v="45"/>
    <s v="Over 40"/>
    <s v="Male"/>
    <s v="Australian"/>
    <x v="0"/>
    <n v="900"/>
    <x v="0"/>
    <n v="600"/>
  </r>
  <r>
    <n v="88"/>
    <s v="New York City"/>
    <d v="2021-10-15T00:00:00"/>
    <d v="2021-10-20T00:00:00"/>
    <n v="6"/>
    <s v="Emily Davis"/>
    <n v="31"/>
    <s v="30-40"/>
    <s v="Female"/>
    <s v="American"/>
    <x v="3"/>
    <n v="700"/>
    <x v="3"/>
    <n v="200"/>
  </r>
  <r>
    <n v="89"/>
    <s v="London"/>
    <d v="2021-11-20T00:00:00"/>
    <d v="2021-11-30T00:00:00"/>
    <n v="11"/>
    <s v="James Wilson"/>
    <n v="29"/>
    <s v="Under 30"/>
    <s v="Male"/>
    <s v="British"/>
    <x v="4"/>
    <n v="300"/>
    <x v="0"/>
    <n v="400"/>
  </r>
  <r>
    <n v="90"/>
    <s v="Dubai"/>
    <d v="2022-01-01T00:00:00"/>
    <d v="2022-01-08T00:00:00"/>
    <n v="8"/>
    <s v="Fatima Ahmed"/>
    <n v="24"/>
    <s v="Under 30"/>
    <s v="Female"/>
    <s v="Emirati"/>
    <x v="0"/>
    <n v="1000"/>
    <x v="0"/>
    <n v="800"/>
  </r>
  <r>
    <n v="91"/>
    <s v="Bangkok"/>
    <d v="2022-02-14T00:00:00"/>
    <d v="2022-02-20T00:00:00"/>
    <n v="7"/>
    <s v="Liam Nguyen"/>
    <n v="26"/>
    <s v="Under 30"/>
    <s v="Male"/>
    <s v="Vietnamese"/>
    <x v="3"/>
    <n v="400"/>
    <x v="1"/>
    <n v="100"/>
  </r>
  <r>
    <n v="92"/>
    <s v="Rome"/>
    <d v="2022-03-10T00:00:00"/>
    <d v="2022-03-20T00:00:00"/>
    <n v="11"/>
    <s v="Giulia Rossi"/>
    <n v="30"/>
    <s v="30-40"/>
    <s v="Female"/>
    <s v="Italian"/>
    <x v="4"/>
    <n v="200"/>
    <x v="0"/>
    <n v="350"/>
  </r>
  <r>
    <n v="93"/>
    <s v="Bali"/>
    <d v="2022-04-15T00:00:00"/>
    <d v="2022-04-25T00:00:00"/>
    <n v="11"/>
    <s v="Putra Wijaya"/>
    <n v="33"/>
    <s v="30-40"/>
    <s v="Male"/>
    <s v="Indonesian"/>
    <x v="2"/>
    <n v="1500"/>
    <x v="3"/>
    <n v="300"/>
  </r>
  <r>
    <n v="94"/>
    <s v="Seoul"/>
    <d v="2022-05-01T00:00:00"/>
    <d v="2022-05-10T00:00:00"/>
    <n v="10"/>
    <s v="Kim Min-ji"/>
    <n v="27"/>
    <s v="Under 30"/>
    <s v="Female"/>
    <s v="Korean"/>
    <x v="0"/>
    <n v="800"/>
    <x v="1"/>
    <n v="150"/>
  </r>
  <r>
    <n v="95"/>
    <s v="Paris"/>
    <d v="2022-06-15T00:00:00"/>
    <d v="2022-06-20T00:00:00"/>
    <n v="5"/>
    <s v="John Smith"/>
    <n v="35"/>
    <s v="30-40"/>
    <s v="Male"/>
    <s v="USA"/>
    <x v="0"/>
    <n v="500"/>
    <x v="0"/>
    <n v="800"/>
  </r>
  <r>
    <n v="96"/>
    <s v="Tokyo"/>
    <d v="2022-09-01T00:00:00"/>
    <d v="2022-09-10T00:00:00"/>
    <n v="9"/>
    <s v="Emily Johnson"/>
    <n v="28"/>
    <s v="Under 30"/>
    <s v="Female"/>
    <s v="Canada"/>
    <x v="3"/>
    <n v="400"/>
    <x v="1"/>
    <n v="200"/>
  </r>
  <r>
    <n v="97"/>
    <s v="Sydney"/>
    <d v="2022-11-23T00:00:00"/>
    <d v="2022-12-02T00:00:00"/>
    <n v="9"/>
    <s v="David Lee"/>
    <n v="45"/>
    <s v="Over 40"/>
    <s v="Male"/>
    <s v="South Korea"/>
    <x v="4"/>
    <n v="200"/>
    <x v="0"/>
    <n v="1200"/>
  </r>
  <r>
    <n v="98"/>
    <s v="London"/>
    <d v="2023-02-14T00:00:00"/>
    <d v="2023-02-19T00:00:00"/>
    <n v="5"/>
    <s v="Sarah Brown"/>
    <n v="37"/>
    <s v="30-40"/>
    <s v="Female"/>
    <s v="UK"/>
    <x v="0"/>
    <n v="600"/>
    <x v="0"/>
    <n v="700"/>
  </r>
  <r>
    <n v="99"/>
    <s v="New York City"/>
    <d v="2023-05-08T00:00:00"/>
    <d v="2023-05-14T00:00:00"/>
    <n v="6"/>
    <s v="Michael Wong"/>
    <n v="50"/>
    <s v="Over 40"/>
    <s v="Male"/>
    <s v="China"/>
    <x v="3"/>
    <n v="800"/>
    <x v="3"/>
    <n v="300"/>
  </r>
  <r>
    <n v="100"/>
    <s v="Rome"/>
    <d v="2023-08-20T00:00:00"/>
    <d v="2023-08-27T00:00:00"/>
    <n v="7"/>
    <s v="Jessica Chen"/>
    <n v="31"/>
    <s v="30-40"/>
    <s v="Female"/>
    <s v="Taiwan"/>
    <x v="0"/>
    <n v="700"/>
    <x v="0"/>
    <n v="900"/>
  </r>
  <r>
    <n v="101"/>
    <s v="Bangkok"/>
    <d v="2023-11-12T00:00:00"/>
    <d v="2023-11-20T00:00:00"/>
    <n v="8"/>
    <s v="Ken Tanaka"/>
    <n v="42"/>
    <s v="Over 40"/>
    <s v="Male"/>
    <s v="Japan"/>
    <x v="4"/>
    <n v="300"/>
    <x v="1"/>
    <n v="100"/>
  </r>
  <r>
    <n v="102"/>
    <s v="Cape Town"/>
    <d v="2024-01-06T00:00:00"/>
    <d v="2024-01-14T00:00:00"/>
    <n v="8"/>
    <s v="Maria Garcia"/>
    <n v="27"/>
    <s v="Under 30"/>
    <s v="Female"/>
    <s v="Spain"/>
    <x v="3"/>
    <n v="500"/>
    <x v="0"/>
    <n v="1500"/>
  </r>
  <r>
    <n v="103"/>
    <s v="Rio de Janeiro"/>
    <d v="2024-04-03T00:00:00"/>
    <d v="2024-04-10T00:00:00"/>
    <n v="7"/>
    <s v="Rodrigo Oliveira"/>
    <n v="33"/>
    <s v="30-40"/>
    <s v="Male"/>
    <s v="Brazil"/>
    <x v="0"/>
    <n v="900"/>
    <x v="3"/>
    <n v="400"/>
  </r>
  <r>
    <n v="104"/>
    <s v="Bali"/>
    <d v="2024-07-22T00:00:00"/>
    <d v="2024-07-28T00:00:00"/>
    <n v="6"/>
    <s v="Olivia Kim"/>
    <n v="29"/>
    <s v="Under 30"/>
    <s v="Female"/>
    <s v="South Korea"/>
    <x v="2"/>
    <n v="1200"/>
    <x v="0"/>
    <n v="1000"/>
  </r>
  <r>
    <n v="105"/>
    <s v="Amsterdam"/>
    <d v="2024-10-10T00:00:00"/>
    <d v="2024-10-17T00:00:00"/>
    <n v="7"/>
    <s v="Robert Mueller"/>
    <n v="41"/>
    <s v="Over 40"/>
    <s v="Male"/>
    <s v="Germany"/>
    <x v="0"/>
    <n v="600"/>
    <x v="1"/>
    <n v="150"/>
  </r>
  <r>
    <n v="106"/>
    <s v="Paris"/>
    <d v="2022-05-15T00:00:00"/>
    <d v="2022-05-20T00:00:00"/>
    <n v="5"/>
    <s v="John Smith"/>
    <n v="35"/>
    <s v="30-40"/>
    <s v="Male"/>
    <s v="USA"/>
    <x v="0"/>
    <n v="1000"/>
    <x v="0"/>
    <n v="800"/>
  </r>
  <r>
    <n v="107"/>
    <s v="Tokyo"/>
    <d v="2022-09-01T00:00:00"/>
    <d v="2022-09-10T00:00:00"/>
    <n v="9"/>
    <s v="Sarah Lee"/>
    <n v="28"/>
    <s v="Under 30"/>
    <s v="Female"/>
    <s v="South Korea"/>
    <x v="3"/>
    <n v="800"/>
    <x v="1"/>
    <n v="500"/>
  </r>
  <r>
    <n v="108"/>
    <s v="New York City"/>
    <d v="2022-06-20T00:00:00"/>
    <d v="2022-06-25T00:00:00"/>
    <n v="5"/>
    <s v="Michael Wong"/>
    <n v="42"/>
    <s v="Over 40"/>
    <s v="Male"/>
    <s v="Hong Kong"/>
    <x v="0"/>
    <n v="1200"/>
    <x v="3"/>
    <n v="200"/>
  </r>
  <r>
    <n v="109"/>
    <s v="Bali"/>
    <d v="2022-08-12T00:00:00"/>
    <d v="2022-08-20T00:00:00"/>
    <n v="8"/>
    <s v="Lisa Chen"/>
    <n v="30"/>
    <s v="30-40"/>
    <s v="Female"/>
    <s v="Taiwan"/>
    <x v="1"/>
    <n v="1500"/>
    <x v="0"/>
    <n v="1200"/>
  </r>
  <r>
    <n v="110"/>
    <s v="Sydney"/>
    <d v="2022-07-01T00:00:00"/>
    <d v="2022-07-10T00:00:00"/>
    <n v="9"/>
    <s v="David Kim"/>
    <n v="26"/>
    <s v="Under 30"/>
    <s v="Male"/>
    <s v="Canada"/>
    <x v="4"/>
    <n v="300"/>
    <x v="0"/>
    <n v="900"/>
  </r>
  <r>
    <n v="111"/>
    <s v="London"/>
    <d v="2022-06-10T00:00:00"/>
    <d v="2022-06-15T00:00:00"/>
    <n v="5"/>
    <s v="Emily Wong"/>
    <n v="38"/>
    <s v="30-40"/>
    <s v="Female"/>
    <s v="United Kingdom"/>
    <x v="0"/>
    <n v="900"/>
    <x v="1"/>
    <n v="150"/>
  </r>
  <r>
    <n v="112"/>
    <s v="Phuket"/>
    <d v="2022-09-05T00:00:00"/>
    <d v="2022-09-12T00:00:00"/>
    <n v="7"/>
    <s v="Mark Tan"/>
    <n v="45"/>
    <s v="Over 40"/>
    <s v="Male"/>
    <s v="Singapore"/>
    <x v="2"/>
    <n v="2000"/>
    <x v="0"/>
    <n v="700"/>
  </r>
  <r>
    <n v="113"/>
    <s v="Rome"/>
    <d v="2022-05-01T00:00:00"/>
    <d v="2022-05-08T00:00:00"/>
    <n v="7"/>
    <s v="Emma Lee"/>
    <n v="31"/>
    <s v="30-40"/>
    <s v="Female"/>
    <s v="Italy"/>
    <x v="0"/>
    <n v="1100"/>
    <x v="1"/>
    <n v="250"/>
  </r>
  <r>
    <n v="114"/>
    <s v="Santorini"/>
    <d v="2022-07-15T00:00:00"/>
    <d v="2022-07-22T00:00:00"/>
    <n v="7"/>
    <s v="George Chen"/>
    <n v="27"/>
    <s v="Under 30"/>
    <s v="Male"/>
    <s v="Greece"/>
    <x v="3"/>
    <n v="1000"/>
    <x v="6"/>
    <n v="150"/>
  </r>
  <r>
    <n v="115"/>
    <s v="Dubai"/>
    <d v="2022-08-25T00:00:00"/>
    <d v="2022-08-30T00:00:00"/>
    <n v="5"/>
    <s v="Sophia Kim"/>
    <n v="29"/>
    <s v="Under 30"/>
    <s v="Female"/>
    <s v="United Arab Emirates"/>
    <x v="0"/>
    <n v="1500"/>
    <x v="3"/>
    <n v="300"/>
  </r>
  <r>
    <n v="116"/>
    <s v="Phnom Penh"/>
    <d v="2022-09-10T00:00:00"/>
    <d v="2022-09-15T00:00:00"/>
    <n v="5"/>
    <s v="Alex Ng"/>
    <n v="33"/>
    <s v="30-40"/>
    <s v="Male"/>
    <s v="Cambodia"/>
    <x v="4"/>
    <n v="200"/>
    <x v="0"/>
    <n v="500"/>
  </r>
  <r>
    <n v="117"/>
    <s v="Tokyo"/>
    <d v="2022-02-05T00:00:00"/>
    <d v="2022-02-14T00:00:00"/>
    <n v="9"/>
    <s v="Alice Smith"/>
    <n v="32"/>
    <s v="30-40"/>
    <s v="Female"/>
    <s v="American"/>
    <x v="0"/>
    <n v="1000"/>
    <x v="0"/>
    <n v="700"/>
  </r>
  <r>
    <n v="118"/>
    <s v="Paris"/>
    <d v="2022-03-15T00:00:00"/>
    <d v="2022-03-22T00:00:00"/>
    <n v="7"/>
    <s v="Bob Johnson"/>
    <n v="47"/>
    <s v="Over 40"/>
    <s v="Male"/>
    <s v="Canadian"/>
    <x v="0"/>
    <n v="1200"/>
    <x v="1"/>
    <n v="500"/>
  </r>
  <r>
    <n v="119"/>
    <s v="Sydney"/>
    <d v="2022-05-01T00:00:00"/>
    <d v="2022-05-12T00:00:00"/>
    <n v="11"/>
    <s v="Cindy Chen"/>
    <n v="26"/>
    <s v="Under 30"/>
    <s v="Female"/>
    <s v="Chinese"/>
    <x v="3"/>
    <n v="800"/>
    <x v="0"/>
    <n v="1000"/>
  </r>
  <r>
    <n v="120"/>
    <s v="Rome"/>
    <d v="2022-06-10T00:00:00"/>
    <d v="2022-06-17T00:00:00"/>
    <n v="7"/>
    <s v="David Lee"/>
    <n v="38"/>
    <s v="30-40"/>
    <s v="Male"/>
    <s v="Korean"/>
    <x v="0"/>
    <n v="900"/>
    <x v="1"/>
    <n v="400"/>
  </r>
  <r>
    <n v="121"/>
    <s v="Bali"/>
    <d v="2022-07-20T00:00:00"/>
    <d v="2022-07-30T00:00:00"/>
    <n v="10"/>
    <s v="Emily Kim"/>
    <n v="29"/>
    <s v="Under 30"/>
    <s v="Female"/>
    <s v="Korean"/>
    <x v="4"/>
    <n v="500"/>
    <x v="0"/>
    <n v="800"/>
  </r>
  <r>
    <n v="122"/>
    <s v="Cancún"/>
    <d v="2022-08-08T00:00:00"/>
    <d v="2022-08-16T00:00:00"/>
    <n v="8"/>
    <s v="Frank Li"/>
    <n v="41"/>
    <s v="Over 40"/>
    <s v="Male"/>
    <s v="American"/>
    <x v="0"/>
    <n v="1300"/>
    <x v="0"/>
    <n v="600"/>
  </r>
  <r>
    <n v="123"/>
    <s v="Athens"/>
    <d v="2022-09-20T00:00:00"/>
    <d v="2022-09-30T00:00:00"/>
    <n v="10"/>
    <s v="Gina Lee"/>
    <n v="35"/>
    <s v="30-40"/>
    <s v="Female"/>
    <s v="Korean"/>
    <x v="3"/>
    <n v="700"/>
    <x v="0"/>
    <n v="900"/>
  </r>
  <r>
    <n v="124"/>
    <s v="Tokyo"/>
    <d v="2022-10-05T00:00:00"/>
    <d v="2022-10-13T00:00:00"/>
    <n v="8"/>
    <s v="Henry Kim"/>
    <n v="24"/>
    <s v="Under 30"/>
    <s v="Male"/>
    <s v="Korean"/>
    <x v="0"/>
    <n v="1200"/>
    <x v="0"/>
    <n v="700"/>
  </r>
  <r>
    <n v="125"/>
    <s v="Sydney"/>
    <d v="2022-11-11T00:00:00"/>
    <d v="2022-11-21T00:00:00"/>
    <n v="10"/>
    <s v="Isabella Chen"/>
    <n v="30"/>
    <s v="30-40"/>
    <s v="Female"/>
    <s v="Chinese"/>
    <x v="3"/>
    <n v="900"/>
    <x v="0"/>
    <n v="1000"/>
  </r>
  <r>
    <n v="126"/>
    <s v="Paris"/>
    <d v="2022-12-24T00:00:00"/>
    <d v="2023-01-01T00:00:00"/>
    <n v="8"/>
    <s v="Jack Smith"/>
    <n v="28"/>
    <s v="Under 30"/>
    <s v="Male"/>
    <s v="American"/>
    <x v="4"/>
    <n v="400"/>
    <x v="0"/>
    <n v="700"/>
  </r>
  <r>
    <n v="127"/>
    <s v="Bali"/>
    <d v="2023-02-10T00:00:00"/>
    <d v="2023-02-18T00:00:00"/>
    <n v="8"/>
    <s v="Katie Johnson"/>
    <n v="33"/>
    <s v="30-40"/>
    <s v="Female"/>
    <s v="Canadian"/>
    <x v="0"/>
    <n v="800"/>
    <x v="0"/>
    <n v="800"/>
  </r>
  <r>
    <n v="128"/>
    <s v="N/A"/>
    <s v="N/A"/>
    <s v="N/A"/>
    <s v="N/A"/>
    <s v="N/A"/>
    <s v="N/A"/>
    <s v="Over 40"/>
    <s v="N/A"/>
    <s v="N/A"/>
    <x v="7"/>
    <s v="N/A"/>
    <x v="5"/>
    <s v="N/A"/>
  </r>
  <r>
    <n v="129"/>
    <s v="Paris"/>
    <d v="2023-05-01T00:00:00"/>
    <d v="2023-05-07T00:00:00"/>
    <n v="6"/>
    <s v="John Doe"/>
    <n v="35"/>
    <s v="30-40"/>
    <s v="Male"/>
    <s v="American"/>
    <x v="0"/>
    <n v="5000"/>
    <x v="0"/>
    <n v="2500"/>
  </r>
  <r>
    <n v="130"/>
    <s v="Tokyo"/>
    <d v="2023-05-15T00:00:00"/>
    <d v="2023-05-22T00:00:00"/>
    <n v="7"/>
    <s v="Jane Smith"/>
    <n v="28"/>
    <s v="Under 30"/>
    <s v="Female"/>
    <s v="British"/>
    <x v="3"/>
    <n v="7000"/>
    <x v="1"/>
    <n v="1500"/>
  </r>
  <r>
    <n v="131"/>
    <s v="Cape Town"/>
    <d v="2023-06-01T00:00:00"/>
    <d v="2023-06-10T00:00:00"/>
    <n v="9"/>
    <s v="Michael Johnson"/>
    <n v="45"/>
    <s v="Over 40"/>
    <s v="Male"/>
    <s v="South African"/>
    <x v="4"/>
    <n v="3000"/>
    <x v="3"/>
    <n v="2000"/>
  </r>
  <r>
    <n v="132"/>
    <s v="Sydney"/>
    <d v="2023-06-15T00:00:00"/>
    <d v="2023-06-21T00:00:00"/>
    <n v="6"/>
    <s v="Sarah Lee"/>
    <n v="31"/>
    <s v="30-40"/>
    <s v="Female"/>
    <s v="Australian"/>
    <x v="0"/>
    <n v="6000"/>
    <x v="0"/>
    <n v="3000"/>
  </r>
  <r>
    <n v="133"/>
    <s v="Rome"/>
    <d v="2023-07-01T00:00:00"/>
    <d v="2023-07-08T00:00:00"/>
    <n v="7"/>
    <s v="David Kim"/>
    <n v="42"/>
    <s v="Over 40"/>
    <s v="Male"/>
    <s v="Korean"/>
    <x v="3"/>
    <n v="4000"/>
    <x v="1"/>
    <n v="1500"/>
  </r>
  <r>
    <n v="134"/>
    <s v="New York City"/>
    <d v="2023-07-15T00:00:00"/>
    <d v="2023-07-22T00:00:00"/>
    <n v="7"/>
    <s v="Emily Davis"/>
    <n v="27"/>
    <s v="Under 30"/>
    <s v="Female"/>
    <s v="American"/>
    <x v="0"/>
    <n v="8000"/>
    <x v="0"/>
    <n v="2500"/>
  </r>
  <r>
    <n v="135"/>
    <s v="Rio de Janeiro"/>
    <d v="2023-08-01T00:00:00"/>
    <d v="2023-08-10T00:00:00"/>
    <n v="9"/>
    <s v="Jose Perez"/>
    <n v="37"/>
    <s v="30-40"/>
    <s v="Male"/>
    <s v="Brazilian"/>
    <x v="4"/>
    <n v="2500"/>
    <x v="3"/>
    <n v="2000"/>
  </r>
  <r>
    <n v="136"/>
    <s v="Vancouver"/>
    <d v="2023-08-15T00:00:00"/>
    <d v="2023-08-21T00:00:00"/>
    <n v="6"/>
    <s v="Emma Wilson"/>
    <n v="29"/>
    <s v="Under 30"/>
    <s v="Female"/>
    <s v="Canadian"/>
    <x v="0"/>
    <n v="5000"/>
    <x v="0"/>
    <n v="3000"/>
  </r>
  <r>
    <n v="137"/>
    <s v="Bangkok"/>
    <d v="2023-09-01T00:00:00"/>
    <d v="2023-09-08T00:00:00"/>
    <n v="7"/>
    <s v="Ryan Chen"/>
    <n v="34"/>
    <s v="30-40"/>
    <s v="Male"/>
    <s v="Chinese"/>
    <x v="4"/>
    <n v="2000"/>
    <x v="1"/>
    <n v="1000"/>
  </r>
  <r>
    <n v="138"/>
    <s v="Barcelona"/>
    <d v="2023-09-15T00:00:00"/>
    <d v="2023-09-22T00:00:00"/>
    <n v="7"/>
    <s v="Sofia Rodriguez"/>
    <n v="25"/>
    <s v="Under 30"/>
    <s v="Female"/>
    <s v="Spanish"/>
    <x v="3"/>
    <n v="6000"/>
    <x v="0"/>
    <n v="2500"/>
  </r>
  <r>
    <n v="139"/>
    <s v="Auckland"/>
    <d v="2023-10-01T00:00:00"/>
    <d v="2023-10-08T00:00:00"/>
    <n v="7"/>
    <s v="William Brown"/>
    <n v="39"/>
    <s v="30-40"/>
    <s v="Male"/>
    <s v="New Zealander"/>
    <x v="0"/>
    <n v="7000"/>
    <x v="1"/>
    <n v="2500"/>
  </r>
  <r>
    <m/>
    <m/>
    <m/>
    <m/>
    <m/>
    <m/>
    <m/>
    <m/>
    <m/>
    <m/>
    <x v="9"/>
    <m/>
    <x v="7"/>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0">
  <r>
    <n v="1"/>
    <x v="0"/>
    <d v="2023-05-01T00:00:00"/>
    <d v="2023-05-08T00:00:00"/>
    <n v="7"/>
    <s v="John Smith"/>
    <n v="35"/>
    <s v="30-40"/>
    <s v="Male"/>
    <s v="American"/>
    <s v="Hotel"/>
    <n v="1200"/>
    <s v="Flight"/>
    <n v="600"/>
    <n v="1800"/>
  </r>
  <r>
    <n v="2"/>
    <x v="1"/>
    <d v="2023-06-15T00:00:00"/>
    <d v="2023-06-20T00:00:00"/>
    <n v="5"/>
    <s v="Jane Doe"/>
    <n v="28"/>
    <s v="Under 30"/>
    <s v="Female"/>
    <s v="Canadian"/>
    <s v="Resort"/>
    <n v="800"/>
    <s v="Flight"/>
    <n v="500"/>
    <n v="1300"/>
  </r>
  <r>
    <n v="3"/>
    <x v="2"/>
    <d v="2023-07-01T00:00:00"/>
    <d v="2023-07-08T00:00:00"/>
    <n v="7"/>
    <s v="David Lee"/>
    <n v="45"/>
    <s v="Over 40"/>
    <s v="Male"/>
    <s v="Korean"/>
    <s v="Villa"/>
    <n v="1000"/>
    <s v="Flight"/>
    <n v="700"/>
    <n v="1700"/>
  </r>
  <r>
    <n v="4"/>
    <x v="3"/>
    <d v="2023-08-15T00:00:00"/>
    <d v="2023-08-29T00:00:00"/>
    <n v="14"/>
    <s v="Sarah Johnson"/>
    <n v="29"/>
    <s v="Under 30"/>
    <s v="Female"/>
    <s v="British"/>
    <s v="Hotel"/>
    <n v="2000"/>
    <s v="Flight"/>
    <n v="1000"/>
    <n v="3000"/>
  </r>
  <r>
    <n v="5"/>
    <x v="4"/>
    <d v="2023-09-10T00:00:00"/>
    <d v="2023-09-17T00:00:00"/>
    <n v="7"/>
    <s v="Kim Nguyen"/>
    <n v="26"/>
    <s v="Under 30"/>
    <s v="Female"/>
    <s v="Vietnamese"/>
    <s v="Airbnb"/>
    <n v="700"/>
    <s v="Train"/>
    <n v="200"/>
    <n v="900"/>
  </r>
  <r>
    <n v="6"/>
    <x v="5"/>
    <d v="2023-10-05T00:00:00"/>
    <d v="2023-10-10T00:00:00"/>
    <n v="5"/>
    <s v="Michael Brown"/>
    <n v="42"/>
    <s v="Over 40"/>
    <s v="Male"/>
    <s v="American"/>
    <s v="Hotel"/>
    <n v="1500"/>
    <s v="Flight"/>
    <n v="800"/>
    <n v="2300"/>
  </r>
  <r>
    <n v="7"/>
    <x v="6"/>
    <d v="2023-11-20T00:00:00"/>
    <d v="2023-11-30T00:00:00"/>
    <n v="10"/>
    <s v="Emily Davis"/>
    <n v="33"/>
    <s v="30-40"/>
    <s v="Female"/>
    <s v="Australian"/>
    <s v="Hostel"/>
    <n v="500"/>
    <s v="Flight"/>
    <n v="1200"/>
    <n v="1700"/>
  </r>
  <r>
    <n v="8"/>
    <x v="7"/>
    <d v="2024-01-05T00:00:00"/>
    <d v="2024-01-12T00:00:00"/>
    <n v="7"/>
    <s v="Lucas Santos"/>
    <n v="25"/>
    <s v="Under 30"/>
    <s v="Male"/>
    <s v="Brazilian"/>
    <s v="Airbnb"/>
    <n v="900"/>
    <s v="Flight"/>
    <n v="600"/>
    <n v="1500"/>
  </r>
  <r>
    <n v="9"/>
    <x v="8"/>
    <d v="2024-02-14T00:00:00"/>
    <d v="2024-02-21T00:00:00"/>
    <n v="7"/>
    <s v="Laura Janssen"/>
    <n v="31"/>
    <s v="30-40"/>
    <s v="Female"/>
    <s v="Dutch"/>
    <s v="Hotel"/>
    <n v="1200"/>
    <s v="Train"/>
    <n v="200"/>
    <n v="1400"/>
  </r>
  <r>
    <n v="10"/>
    <x v="9"/>
    <d v="2024-03-10T00:00:00"/>
    <d v="2024-03-17T00:00:00"/>
    <n v="7"/>
    <s v="Mohammed Ali"/>
    <n v="39"/>
    <s v="30-40"/>
    <s v="Male"/>
    <s v="Emirati"/>
    <s v="Resort"/>
    <n v="2500"/>
    <s v="Flight"/>
    <n v="800"/>
    <n v="3300"/>
  </r>
  <r>
    <n v="11"/>
    <x v="10"/>
    <d v="2024-04-01T00:00:00"/>
    <d v="2024-04-08T00:00:00"/>
    <n v="7"/>
    <s v="Ana Hernandez"/>
    <n v="27"/>
    <s v="Under 30"/>
    <s v="Female"/>
    <s v="Mexican"/>
    <s v="Hotel"/>
    <n v="1000"/>
    <s v="Flight"/>
    <n v="500"/>
    <n v="1500"/>
  </r>
  <r>
    <n v="12"/>
    <x v="11"/>
    <d v="2024-05-15T00:00:00"/>
    <d v="2024-05-22T00:00:00"/>
    <n v="7"/>
    <s v="Carlos Garcia"/>
    <n v="36"/>
    <s v="30-40"/>
    <s v="Male"/>
    <s v="Spanish"/>
    <s v="Airbnb"/>
    <n v="800"/>
    <s v="Train"/>
    <n v="100"/>
    <n v="900"/>
  </r>
  <r>
    <n v="13"/>
    <x v="12"/>
    <d v="2024-06-10T00:00:00"/>
    <d v="2024-06-18T00:00:00"/>
    <n v="8"/>
    <s v="Lily Wong"/>
    <n v="29"/>
    <s v="Under 30"/>
    <s v="Female"/>
    <s v="Chinese"/>
    <s v="Resort"/>
    <n v="3000"/>
    <s v="Flight"/>
    <n v="1200"/>
    <n v="4200"/>
  </r>
  <r>
    <n v="14"/>
    <x v="13"/>
    <d v="2024-07-01T00:00:00"/>
    <d v="2024-07-10T00:00:00"/>
    <n v="9"/>
    <s v="Hans Mueller"/>
    <n v="48"/>
    <s v="Over 40"/>
    <s v="Male"/>
    <s v="German"/>
    <s v="Hotel"/>
    <n v="1400"/>
    <s v="Flight"/>
    <n v="700"/>
    <n v="2100"/>
  </r>
  <r>
    <n v="15"/>
    <x v="14"/>
    <d v="2024-08-20T00:00:00"/>
    <d v="2024-08-27T00:00:00"/>
    <n v="7"/>
    <s v="Fatima Khouri"/>
    <n v="26"/>
    <s v="Under 30"/>
    <s v="Female"/>
    <s v="Moroccan"/>
    <s v="Riad"/>
    <n v="600"/>
    <s v="Flight"/>
    <n v="400"/>
    <n v="1000"/>
  </r>
  <r>
    <n v="16"/>
    <x v="15"/>
    <d v="2024-09-05T00:00:00"/>
    <d v="2024-09-12T00:00:00"/>
    <n v="7"/>
    <s v="James MacKenzie"/>
    <n v="32"/>
    <s v="30-40"/>
    <s v="Male"/>
    <s v="Scottish"/>
    <s v="Hotel"/>
    <n v="900"/>
    <s v="Train"/>
    <n v="150"/>
    <n v="1050"/>
  </r>
  <r>
    <n v="17"/>
    <x v="5"/>
    <d v="2023-09-01T00:00:00"/>
    <d v="2023-09-10T00:00:00"/>
    <n v="9"/>
    <s v="Sarah Johnson"/>
    <n v="30"/>
    <s v="30-40"/>
    <s v="Female"/>
    <s v="American"/>
    <s v="Hotel"/>
    <n v="900"/>
    <s v="Flight"/>
    <n v="400"/>
    <n v="1300"/>
  </r>
  <r>
    <n v="18"/>
    <x v="2"/>
    <d v="2023-08-15T00:00:00"/>
    <d v="2023-08-25T00:00:00"/>
    <n v="10"/>
    <s v="Michael Chang"/>
    <n v="28"/>
    <s v="Under 30"/>
    <s v="Male"/>
    <s v="Chinese"/>
    <s v="Resort"/>
    <n v="1500"/>
    <s v="Flight"/>
    <n v="700"/>
    <n v="2200"/>
  </r>
  <r>
    <n v="19"/>
    <x v="0"/>
    <d v="2023-07-22T00:00:00"/>
    <d v="2023-07-28T00:00:00"/>
    <n v="6"/>
    <s v="Olivia Rodriguez"/>
    <n v="35"/>
    <s v="30-40"/>
    <s v="Female"/>
    <s v="British"/>
    <s v="Hotel"/>
    <n v="1200"/>
    <s v="Train"/>
    <n v="150"/>
    <n v="1350"/>
  </r>
  <r>
    <n v="20"/>
    <x v="4"/>
    <d v="2023-10-05T00:00:00"/>
    <d v="2023-10-15T00:00:00"/>
    <n v="10"/>
    <s v="Kenji Nakamura"/>
    <n v="45"/>
    <s v="Over 40"/>
    <s v="Male"/>
    <s v="Japanese"/>
    <s v="Hotel"/>
    <n v="1200"/>
    <s v="Flight"/>
    <n v="800"/>
    <n v="2000"/>
  </r>
  <r>
    <n v="21"/>
    <x v="3"/>
    <d v="2023-11-20T00:00:00"/>
    <d v="2023-11-25T00:00:00"/>
    <n v="5"/>
    <s v="Emily Lee"/>
    <n v="27"/>
    <s v="Under 30"/>
    <s v="Female"/>
    <s v="American"/>
    <s v="Airbnb"/>
    <n v="600"/>
    <s v="Bus"/>
    <n v="100"/>
    <n v="700"/>
  </r>
  <r>
    <n v="22"/>
    <x v="6"/>
    <d v="2023-12-05T00:00:00"/>
    <d v="2023-12-12T00:00:00"/>
    <n v="7"/>
    <s v="James Wilson"/>
    <n v="32"/>
    <s v="30-40"/>
    <s v="Male"/>
    <s v="Australian"/>
    <s v="Hotel"/>
    <n v="1000"/>
    <s v="Flight"/>
    <n v="600"/>
    <n v="1600"/>
  </r>
  <r>
    <n v="23"/>
    <x v="16"/>
    <d v="2023-11-01T00:00:00"/>
    <d v="2023-11-08T00:00:00"/>
    <n v="7"/>
    <s v="Sofia Russo"/>
    <n v="29"/>
    <s v="Under 30"/>
    <s v="Female"/>
    <s v="Italian"/>
    <s v="Airbnb"/>
    <n v="700"/>
    <s v="Train"/>
    <n v="80"/>
    <n v="780"/>
  </r>
  <r>
    <n v="24"/>
    <x v="17"/>
    <d v="2023-09-15T00:00:00"/>
    <d v="2023-09-23T00:00:00"/>
    <n v="8"/>
    <s v="Raj Patel"/>
    <n v="40"/>
    <s v="30-40"/>
    <s v="Male"/>
    <s v="Indian"/>
    <s v="Hostel"/>
    <n v="400"/>
    <s v="Flight"/>
    <n v="500"/>
    <n v="900"/>
  </r>
  <r>
    <n v="25"/>
    <x v="5"/>
    <d v="2023-12-22T00:00:00"/>
    <d v="2023-12-28T00:00:00"/>
    <n v="6"/>
    <s v="Lily Nguyen"/>
    <n v="24"/>
    <s v="Under 30"/>
    <s v="Female"/>
    <s v="Vietnamese"/>
    <s v="Hotel"/>
    <n v="1400"/>
    <s v="Train"/>
    <n v="100"/>
    <n v="1500"/>
  </r>
  <r>
    <n v="26"/>
    <x v="18"/>
    <d v="2023-08-01T00:00:00"/>
    <d v="2023-08-10T00:00:00"/>
    <n v="9"/>
    <s v="David Kim"/>
    <n v="34"/>
    <s v="30-40"/>
    <s v="Male"/>
    <s v="Korean"/>
    <s v="Resort"/>
    <n v="2000"/>
    <s v="Flight"/>
    <n v="800"/>
    <n v="2800"/>
  </r>
  <r>
    <n v="27"/>
    <x v="11"/>
    <d v="2023-10-20T00:00:00"/>
    <d v="2023-10-28T00:00:00"/>
    <n v="8"/>
    <s v="Maria Garcia"/>
    <n v="31"/>
    <s v="30-40"/>
    <s v="Female"/>
    <s v="Spanish"/>
    <s v="Hotel"/>
    <n v="1100"/>
    <s v="Train"/>
    <n v="150"/>
    <n v="1250"/>
  </r>
  <r>
    <n v="28"/>
    <x v="19"/>
    <d v="2022-05-10T00:00:00"/>
    <d v="2022-05-18T00:00:00"/>
    <n v="8"/>
    <s v="Alice Smith"/>
    <n v="30"/>
    <s v="30-40"/>
    <s v="Female"/>
    <s v="American"/>
    <s v="Hotel"/>
    <n v="800"/>
    <s v="Flight"/>
    <n v="500"/>
    <n v="1300"/>
  </r>
  <r>
    <n v="29"/>
    <x v="20"/>
    <d v="2022-06-15T00:00:00"/>
    <d v="2022-06-22T00:00:00"/>
    <n v="7"/>
    <s v="Bob Johnson"/>
    <n v="45"/>
    <s v="Over 40"/>
    <s v="Male"/>
    <s v="Canadian"/>
    <s v="Hostel"/>
    <n v="200"/>
    <s v="Train"/>
    <n v="150"/>
    <n v="350"/>
  </r>
  <r>
    <n v="30"/>
    <x v="21"/>
    <d v="2022-07-02T00:00:00"/>
    <d v="2022-07-11T00:00:00"/>
    <n v="9"/>
    <s v="Charlie Lee"/>
    <n v="25"/>
    <s v="Under 30"/>
    <s v="Male"/>
    <s v="Korean"/>
    <s v="Airbnb"/>
    <n v="600"/>
    <s v="Car"/>
    <n v="300"/>
    <n v="900"/>
  </r>
  <r>
    <n v="31"/>
    <x v="22"/>
    <d v="2022-08-20T00:00:00"/>
    <d v="2022-09-02T00:00:00"/>
    <n v="13"/>
    <s v="Emma Davis"/>
    <n v="28"/>
    <s v="Under 30"/>
    <s v="Female"/>
    <s v="British"/>
    <s v="Hotel"/>
    <n v="1000"/>
    <s v="Car"/>
    <n v="500"/>
    <n v="1500"/>
  </r>
  <r>
    <n v="32"/>
    <x v="23"/>
    <d v="2022-09-05T00:00:00"/>
    <d v="2022-09-14T00:00:00"/>
    <n v="9"/>
    <s v="Olivia Martin"/>
    <n v="33"/>
    <s v="30-40"/>
    <s v="Female"/>
    <s v="Australian"/>
    <s v="Hostel"/>
    <n v="150"/>
    <s v="Bus"/>
    <n v="50"/>
    <n v="200"/>
  </r>
  <r>
    <n v="33"/>
    <x v="24"/>
    <d v="2022-10-12T00:00:00"/>
    <d v="2022-10-20T00:00:00"/>
    <n v="8"/>
    <s v="Harry Wilson"/>
    <n v="20"/>
    <s v="Under 30"/>
    <s v="Male"/>
    <s v="American"/>
    <s v="Airbnb"/>
    <n v="400"/>
    <s v="Flight"/>
    <n v="600"/>
    <n v="1000"/>
  </r>
  <r>
    <n v="34"/>
    <x v="25"/>
    <d v="2022-11-08T00:00:00"/>
    <d v="2022-11-15T00:00:00"/>
    <n v="7"/>
    <s v="Sophia Lee"/>
    <n v="37"/>
    <s v="30-40"/>
    <s v="Female"/>
    <s v="Canadian"/>
    <s v="Hotel"/>
    <n v="700"/>
    <s v="Train"/>
    <n v="100"/>
    <n v="800"/>
  </r>
  <r>
    <n v="35"/>
    <x v="26"/>
    <d v="2023-01-05T00:00:00"/>
    <d v="2023-01-15T00:00:00"/>
    <n v="10"/>
    <s v="James Brown"/>
    <n v="42"/>
    <s v="Over 40"/>
    <s v="Male"/>
    <s v="British"/>
    <s v="Airbnb"/>
    <n v="500"/>
    <s v="Flight"/>
    <n v="800"/>
    <n v="1300"/>
  </r>
  <r>
    <n v="36"/>
    <x v="27"/>
    <d v="2023-02-14T00:00:00"/>
    <d v="2023-02-20T00:00:00"/>
    <n v="6"/>
    <s v="Mia Johnson"/>
    <n v="31"/>
    <s v="30-40"/>
    <s v="Female"/>
    <s v="American"/>
    <s v="Hostel"/>
    <n v="180"/>
    <s v="Train"/>
    <n v="120"/>
    <n v="300"/>
  </r>
  <r>
    <n v="37"/>
    <x v="28"/>
    <d v="2023-03-23T00:00:00"/>
    <d v="2023-03-31T00:00:00"/>
    <n v="8"/>
    <s v="William Davis"/>
    <n v="27"/>
    <s v="Under 30"/>
    <s v="Male"/>
    <s v="Korean"/>
    <s v="Hotel"/>
    <n v="900"/>
    <s v="Car"/>
    <n v="400"/>
    <n v="1300"/>
  </r>
  <r>
    <n v="38"/>
    <x v="29"/>
    <d v="2023-04-19T00:00:00"/>
    <d v="2023-04-26T00:00:00"/>
    <n v="7"/>
    <s v="Amelia Brown"/>
    <n v="38"/>
    <s v="30-40"/>
    <s v="Female"/>
    <s v="Australian"/>
    <s v="Airbnb"/>
    <n v="350"/>
    <s v="Bus"/>
    <n v="75"/>
    <n v="425"/>
  </r>
  <r>
    <n v="39"/>
    <x v="5"/>
    <d v="2022-06-12T00:00:00"/>
    <d v="2022-06-19T00:00:00"/>
    <n v="7"/>
    <s v="Mia Johnson"/>
    <n v="25"/>
    <s v="Under 30"/>
    <s v="Female"/>
    <s v="American"/>
    <s v="Hotel"/>
    <n v="1400"/>
    <s v="Flight"/>
    <n v="600"/>
    <n v="2000"/>
  </r>
  <r>
    <n v="40"/>
    <x v="6"/>
    <d v="2023-01-02T00:00:00"/>
    <d v="2023-01-09T00:00:00"/>
    <n v="7"/>
    <s v="Adam Lee"/>
    <n v="33"/>
    <s v="30-40"/>
    <s v="Male"/>
    <s v="Canadian"/>
    <s v="Airbnb"/>
    <n v="800"/>
    <s v="Train"/>
    <n v="150"/>
    <n v="950"/>
  </r>
  <r>
    <n v="41"/>
    <x v="4"/>
    <d v="2022-12-10T00:00:00"/>
    <d v="2022-12-18T00:00:00"/>
    <n v="8"/>
    <s v="Sarah Wong"/>
    <n v="28"/>
    <s v="Under 30"/>
    <s v="Female"/>
    <s v="Chinese"/>
    <s v="Hostel"/>
    <n v="500"/>
    <s v="Flight"/>
    <n v="900"/>
    <n v="1400"/>
  </r>
  <r>
    <n v="42"/>
    <x v="10"/>
    <d v="2023-07-01T00:00:00"/>
    <d v="2023-07-08T00:00:00"/>
    <n v="7"/>
    <s v="John Smith"/>
    <n v="45"/>
    <s v="Over 40"/>
    <s v="Male"/>
    <s v="American"/>
    <s v="Resort"/>
    <n v="2200"/>
    <s v="Flight"/>
    <n v="800"/>
    <n v="3000"/>
  </r>
  <r>
    <n v="43"/>
    <x v="7"/>
    <d v="2022-11-20T00:00:00"/>
    <d v="2022-11-27T00:00:00"/>
    <n v="7"/>
    <s v="Maria Silva"/>
    <n v="30"/>
    <s v="30-40"/>
    <s v="Female"/>
    <s v="Brazilian"/>
    <s v="Hotel"/>
    <n v="1200"/>
    <s v="Flight"/>
    <n v="700"/>
    <n v="1900"/>
  </r>
  <r>
    <n v="44"/>
    <x v="0"/>
    <d v="2023-03-05T00:00:00"/>
    <d v="2023-03-12T00:00:00"/>
    <n v="7"/>
    <s v="Peter Brown"/>
    <n v="55"/>
    <s v="Over 40"/>
    <s v="Male"/>
    <s v="British"/>
    <s v="Airbnb"/>
    <n v="900"/>
    <s v="Train"/>
    <n v="100"/>
    <n v="1000"/>
  </r>
  <r>
    <n v="45"/>
    <x v="11"/>
    <d v="2023-08-18T00:00:00"/>
    <d v="2023-08-25T00:00:00"/>
    <n v="7"/>
    <s v="Emma Garcia"/>
    <n v="27"/>
    <s v="Under 30"/>
    <s v="Female"/>
    <s v="Spanish"/>
    <s v="Hostel"/>
    <n v="600"/>
    <s v="Flight"/>
    <n v="600"/>
    <n v="1200"/>
  </r>
  <r>
    <n v="46"/>
    <x v="3"/>
    <d v="2022-09-15T00:00:00"/>
    <d v="2022-09-22T00:00:00"/>
    <n v="7"/>
    <s v="Michael Davis"/>
    <n v="41"/>
    <s v="Over 40"/>
    <s v="Male"/>
    <s v="American"/>
    <s v="Hotel"/>
    <n v="1500"/>
    <s v="Flight"/>
    <n v="500"/>
    <n v="2000"/>
  </r>
  <r>
    <n v="47"/>
    <x v="17"/>
    <d v="2023-05-01T00:00:00"/>
    <d v="2023-05-07T00:00:00"/>
    <n v="6"/>
    <s v="Nina Patel"/>
    <n v="29"/>
    <s v="Under 30"/>
    <s v="Female"/>
    <s v="Indian"/>
    <s v="Airbnb"/>
    <n v="500"/>
    <s v="Bus"/>
    <n v="50"/>
    <n v="550"/>
  </r>
  <r>
    <n v="48"/>
    <x v="30"/>
    <d v="2022-07-10T00:00:00"/>
    <d v="2022-07-17T00:00:00"/>
    <n v="7"/>
    <s v="Kevin Kim"/>
    <n v="24"/>
    <s v="Under 30"/>
    <s v="Male"/>
    <s v="Korean"/>
    <s v="Hostel"/>
    <n v="400"/>
    <s v="Train"/>
    <n v="150"/>
    <n v="550"/>
  </r>
  <r>
    <n v="49"/>
    <x v="8"/>
    <d v="2023-06-20T00:00:00"/>
    <d v="2023-06-28T00:00:00"/>
    <n v="8"/>
    <s v="Laura van den Berg"/>
    <n v="31"/>
    <s v="30-40"/>
    <s v="Female"/>
    <s v="Dutch"/>
    <s v="Hotel"/>
    <n v="1100"/>
    <s v="Flight"/>
    <n v="700"/>
    <n v="1800"/>
  </r>
  <r>
    <n v="50"/>
    <x v="5"/>
    <d v="2023-08-15T00:00:00"/>
    <d v="2023-08-22T00:00:00"/>
    <n v="7"/>
    <s v="Jennifer Nguyen"/>
    <n v="31"/>
    <s v="30-40"/>
    <s v="Female"/>
    <s v="Canadian"/>
    <s v="Hotel"/>
    <n v="1200"/>
    <s v="Train"/>
    <n v="300"/>
    <n v="1500"/>
  </r>
  <r>
    <n v="51"/>
    <x v="4"/>
    <d v="2023-10-10T00:00:00"/>
    <d v="2023-10-20T00:00:00"/>
    <n v="10"/>
    <s v="David Kim"/>
    <n v="25"/>
    <s v="Under 30"/>
    <s v="Male"/>
    <s v="American"/>
    <s v="Hostel"/>
    <n v="500"/>
    <s v="Bus"/>
    <n v="100"/>
    <n v="600"/>
  </r>
  <r>
    <n v="52"/>
    <x v="6"/>
    <d v="2023-11-05T00:00:00"/>
    <d v="2023-11-12T00:00:00"/>
    <n v="7"/>
    <s v="Rachel Lee"/>
    <n v="27"/>
    <s v="Under 30"/>
    <s v="Female"/>
    <s v="South Korean"/>
    <s v="Airbnb"/>
    <n v="900"/>
    <s v="Car"/>
    <n v="200"/>
    <n v="1100"/>
  </r>
  <r>
    <n v="53"/>
    <x v="3"/>
    <d v="2023-12-24T00:00:00"/>
    <d v="2023-12-31T00:00:00"/>
    <n v="7"/>
    <s v="Jessica Wong"/>
    <n v="28"/>
    <s v="Under 30"/>
    <s v="Female"/>
    <s v="Canadian"/>
    <s v="Hotel"/>
    <n v="1400"/>
    <s v="Flight"/>
    <n v="800"/>
    <n v="2200"/>
  </r>
  <r>
    <n v="54"/>
    <x v="7"/>
    <d v="2024-01-15T00:00:00"/>
    <d v="2024-01-24T00:00:00"/>
    <n v="9"/>
    <s v="Felipe Almeida"/>
    <n v="30"/>
    <s v="30-40"/>
    <s v="Male"/>
    <s v="Brazilian"/>
    <s v="Airbnb"/>
    <n v="800"/>
    <s v="Train"/>
    <n v="150"/>
    <n v="950"/>
  </r>
  <r>
    <n v="55"/>
    <x v="17"/>
    <d v="2024-02-01T00:00:00"/>
    <d v="2024-02-09T00:00:00"/>
    <n v="8"/>
    <s v="Nisa Patel"/>
    <n v="23"/>
    <s v="Under 30"/>
    <s v="Female"/>
    <s v="Indian"/>
    <s v="Hostel"/>
    <n v="400"/>
    <s v="Bus"/>
    <n v="50"/>
    <n v="450"/>
  </r>
  <r>
    <n v="56"/>
    <x v="0"/>
    <d v="2024-03-15T00:00:00"/>
    <d v="2024-03-23T00:00:00"/>
    <n v="8"/>
    <s v="Ben Smith"/>
    <n v="35"/>
    <s v="30-40"/>
    <s v="Male"/>
    <s v="British"/>
    <s v="Hotel"/>
    <n v="1000"/>
    <s v="Train"/>
    <n v="200"/>
    <n v="1200"/>
  </r>
  <r>
    <n v="57"/>
    <x v="11"/>
    <d v="2024-04-05T00:00:00"/>
    <d v="2024-04-13T00:00:00"/>
    <n v="8"/>
    <s v="Laura Gomez"/>
    <n v="29"/>
    <s v="Under 30"/>
    <s v="Female"/>
    <s v="Spanish"/>
    <s v="Airbnb"/>
    <n v="700"/>
    <s v="Car"/>
    <n v="250"/>
    <n v="950"/>
  </r>
  <r>
    <n v="58"/>
    <x v="31"/>
    <d v="2024-05-10T00:00:00"/>
    <d v="2024-05-18T00:00:00"/>
    <n v="8"/>
    <s v="Park Min Woo"/>
    <n v="27"/>
    <s v="Under 30"/>
    <s v="Male"/>
    <s v="South Korean"/>
    <s v="Hostel"/>
    <n v="500"/>
    <s v="Subway"/>
    <n v="20"/>
    <n v="520"/>
  </r>
  <r>
    <n v="59"/>
    <x v="32"/>
    <d v="2024-06-20T00:00:00"/>
    <d v="2024-06-27T00:00:00"/>
    <n v="7"/>
    <s v="Michael Chen"/>
    <n v="26"/>
    <s v="Under 30"/>
    <s v="Male"/>
    <s v="Chinese"/>
    <s v="Hotel"/>
    <n v="1200"/>
    <s v="Car"/>
    <n v="300"/>
    <n v="1500"/>
  </r>
  <r>
    <n v="60"/>
    <x v="16"/>
    <d v="2024-07-15T00:00:00"/>
    <d v="2024-07-23T00:00:00"/>
    <n v="8"/>
    <s v="Sofia Rossi"/>
    <n v="33"/>
    <s v="30-40"/>
    <s v="Female"/>
    <s v="Italian"/>
    <s v="Airbnb"/>
    <n v="800"/>
    <s v="Train"/>
    <n v="100"/>
    <n v="900"/>
  </r>
  <r>
    <n v="61"/>
    <x v="5"/>
    <d v="2022-07-12T00:00:00"/>
    <d v="2022-07-18T00:00:00"/>
    <n v="6"/>
    <s v="Rachel Sanders"/>
    <n v="35"/>
    <s v="30-40"/>
    <s v="Female"/>
    <s v="American"/>
    <s v="Hotel"/>
    <n v="1200"/>
    <s v="Flight"/>
    <n v="800"/>
    <n v="2000"/>
  </r>
  <r>
    <n v="62"/>
    <x v="4"/>
    <d v="2022-09-03T00:00:00"/>
    <d v="2022-09-10T00:00:00"/>
    <n v="7"/>
    <s v="Kenji Nakamura"/>
    <n v="28"/>
    <s v="Under 30"/>
    <s v="Male"/>
    <s v="Japanese"/>
    <s v="Hostel"/>
    <n v="400"/>
    <s v="Train"/>
    <n v="300"/>
    <n v="700"/>
  </r>
  <r>
    <n v="63"/>
    <x v="33"/>
    <d v="2023-01-07T00:00:00"/>
    <d v="2023-01-16T00:00:00"/>
    <n v="9"/>
    <s v="Emily Watson"/>
    <n v="29"/>
    <s v="Under 30"/>
    <s v="Female"/>
    <s v="British"/>
    <s v="Vacation rental"/>
    <n v="800"/>
    <s v="Car"/>
    <n v="200"/>
    <n v="1000"/>
  </r>
  <r>
    <n v="64"/>
    <x v="6"/>
    <d v="2023-06-23T00:00:00"/>
    <d v="2023-06-29T00:00:00"/>
    <n v="6"/>
    <s v="David Lee"/>
    <n v="43"/>
    <s v="Over 40"/>
    <s v="Male"/>
    <s v="Australian"/>
    <s v="Hotel"/>
    <n v="1500"/>
    <s v="Flight"/>
    <n v="1200"/>
    <n v="2700"/>
  </r>
  <r>
    <n v="65"/>
    <x v="11"/>
    <d v="2023-08-18T00:00:00"/>
    <d v="2023-08-25T00:00:00"/>
    <n v="7"/>
    <s v="Ana Rodriguez"/>
    <n v="31"/>
    <s v="30-40"/>
    <s v="Female"/>
    <s v="Spanish"/>
    <s v="Vacation rental"/>
    <n v="900"/>
    <s v="Flight"/>
    <n v="700"/>
    <n v="1600"/>
  </r>
  <r>
    <n v="66"/>
    <x v="2"/>
    <d v="2024-02-01T00:00:00"/>
    <d v="2024-02-08T00:00:00"/>
    <n v="7"/>
    <s v="Tom Wilson"/>
    <n v="27"/>
    <s v="Under 30"/>
    <s v="Male"/>
    <s v="American"/>
    <s v="Resort"/>
    <n v="2200"/>
    <s v="Flight"/>
    <n v="1000"/>
    <n v="3200"/>
  </r>
  <r>
    <n v="67"/>
    <x v="5"/>
    <d v="2024-05-06T00:00:00"/>
    <d v="2024-05-12T00:00:00"/>
    <n v="6"/>
    <s v="Olivia Green"/>
    <n v="39"/>
    <s v="30-40"/>
    <s v="Female"/>
    <s v="French"/>
    <s v="Hotel"/>
    <n v="1100"/>
    <s v="Train"/>
    <n v="200"/>
    <n v="1300"/>
  </r>
  <r>
    <n v="68"/>
    <x v="3"/>
    <d v="2024-07-20T00:00:00"/>
    <d v="2024-07-26T00:00:00"/>
    <n v="6"/>
    <s v="James Chen"/>
    <n v="25"/>
    <s v="Under 30"/>
    <s v="Male"/>
    <s v="American"/>
    <s v="Vacation rental"/>
    <n v="1000"/>
    <s v="Flight"/>
    <n v="800"/>
    <n v="1800"/>
  </r>
  <r>
    <n v="69"/>
    <x v="17"/>
    <d v="2024-09-08T00:00:00"/>
    <d v="2024-09-16T00:00:00"/>
    <n v="8"/>
    <s v="Lila Patel"/>
    <n v="33"/>
    <s v="30-40"/>
    <s v="Female"/>
    <s v="Indian"/>
    <s v="Hostel"/>
    <n v="300"/>
    <s v="Flight"/>
    <n v="700"/>
    <n v="1000"/>
  </r>
  <r>
    <n v="70"/>
    <x v="16"/>
    <d v="2025-02-14T00:00:00"/>
    <d v="2025-02-20T00:00:00"/>
    <n v="6"/>
    <s v="Marco Rossi"/>
    <n v="41"/>
    <s v="Over 40"/>
    <s v="Male"/>
    <s v="Italian"/>
    <s v="Hotel"/>
    <n v="1300"/>
    <s v="Train"/>
    <n v="100"/>
    <n v="1400"/>
  </r>
  <r>
    <n v="71"/>
    <x v="2"/>
    <d v="2025-05-21T00:00:00"/>
    <d v="2025-05-29T00:00:00"/>
    <n v="8"/>
    <s v="Sarah Brown"/>
    <n v="37"/>
    <s v="30-40"/>
    <s v="Female"/>
    <s v="British"/>
    <s v="Resort"/>
    <n v="1800"/>
    <s v="Flight"/>
    <n v="1000"/>
    <n v="2800"/>
  </r>
  <r>
    <n v="72"/>
    <x v="34"/>
    <s v="N/A"/>
    <s v="N/A"/>
    <s v="N/A"/>
    <s v="N/A"/>
    <s v="N/A"/>
    <s v="Over 40"/>
    <s v="N/A"/>
    <s v="N/A"/>
    <s v="N/A"/>
    <s v="N/A"/>
    <s v="N/A"/>
    <s v="N/A"/>
    <n v="0"/>
  </r>
  <r>
    <n v="73"/>
    <x v="2"/>
    <d v="2022-08-05T00:00:00"/>
    <d v="2022-08-12T00:00:00"/>
    <n v="7"/>
    <s v="Sarah Lee"/>
    <n v="35"/>
    <s v="30-40"/>
    <s v="Female"/>
    <s v="South Korean"/>
    <s v="Resort"/>
    <n v="500"/>
    <s v="Flight"/>
    <n v="800"/>
    <n v="1300"/>
  </r>
  <r>
    <n v="74"/>
    <x v="4"/>
    <d v="2023-01-01T00:00:00"/>
    <d v="2023-01-09T00:00:00"/>
    <n v="8"/>
    <s v="Alex Kim"/>
    <n v="29"/>
    <s v="Under 30"/>
    <s v="Male"/>
    <s v="American"/>
    <s v="Hotel"/>
    <n v="1000"/>
    <s v="Train"/>
    <n v="200"/>
    <n v="1200"/>
  </r>
  <r>
    <n v="75"/>
    <x v="10"/>
    <d v="2023-04-15T00:00:00"/>
    <d v="2023-04-22T00:00:00"/>
    <n v="7"/>
    <s v="Maria Hernandez"/>
    <n v="42"/>
    <s v="Over 40"/>
    <s v="Female"/>
    <s v="Mexican"/>
    <s v="Resort"/>
    <n v="800"/>
    <s v="Flight"/>
    <n v="500"/>
    <n v="1300"/>
  </r>
  <r>
    <n v="76"/>
    <x v="5"/>
    <d v="2023-06-07T00:00:00"/>
    <d v="2023-06-14T00:00:00"/>
    <n v="7"/>
    <s v="John Smith"/>
    <n v="46"/>
    <s v="Over 40"/>
    <s v="Male"/>
    <s v="British"/>
    <s v="Hotel"/>
    <n v="1200"/>
    <s v="Flight"/>
    <n v="700"/>
    <n v="1900"/>
  </r>
  <r>
    <n v="77"/>
    <x v="33"/>
    <d v="2023-09-01T00:00:00"/>
    <d v="2023-09-10T00:00:00"/>
    <n v="9"/>
    <s v="Mark Johnson"/>
    <n v="31"/>
    <s v="30-40"/>
    <s v="Male"/>
    <s v="South African"/>
    <s v="Guesthouse"/>
    <n v="400"/>
    <s v="Car"/>
    <n v="300"/>
    <n v="700"/>
  </r>
  <r>
    <n v="78"/>
    <x v="2"/>
    <d v="2023-11-12T00:00:00"/>
    <d v="2023-11-19T00:00:00"/>
    <n v="7"/>
    <s v="Amanda Chen"/>
    <n v="25"/>
    <s v="Under 30"/>
    <s v="Female"/>
    <s v="Taiwanese"/>
    <s v="Resort"/>
    <n v="600"/>
    <s v="Flight"/>
    <n v="700"/>
    <n v="1300"/>
  </r>
  <r>
    <n v="79"/>
    <x v="6"/>
    <d v="2024-02-05T00:00:00"/>
    <d v="2024-02-12T00:00:00"/>
    <n v="7"/>
    <s v="David Lee"/>
    <n v="38"/>
    <s v="30-40"/>
    <s v="Male"/>
    <s v="Australian"/>
    <s v="Hotel"/>
    <n v="900"/>
    <s v="Flight"/>
    <n v="600"/>
    <n v="1500"/>
  </r>
  <r>
    <n v="80"/>
    <x v="17"/>
    <d v="2024-05-15T00:00:00"/>
    <d v="2024-05-22T00:00:00"/>
    <n v="7"/>
    <s v="Nana Kwon"/>
    <n v="27"/>
    <s v="Under 30"/>
    <s v="Female"/>
    <s v="Korean"/>
    <s v="Hotel"/>
    <n v="400"/>
    <s v="Flight"/>
    <n v="400"/>
    <n v="800"/>
  </r>
  <r>
    <n v="81"/>
    <x v="3"/>
    <d v="2024-08-20T00:00:00"/>
    <d v="2024-08-27T00:00:00"/>
    <n v="7"/>
    <s v="Tom Hanks"/>
    <n v="60"/>
    <s v="Over 40"/>
    <s v="Male"/>
    <s v="American"/>
    <s v="Hotel"/>
    <n v="1500"/>
    <s v="Flight"/>
    <n v="1000"/>
    <n v="2500"/>
  </r>
  <r>
    <n v="82"/>
    <x v="1"/>
    <d v="2025-01-01T00:00:00"/>
    <d v="2025-01-08T00:00:00"/>
    <n v="7"/>
    <s v="Emma Watson"/>
    <n v="32"/>
    <s v="30-40"/>
    <s v="Female"/>
    <s v="British"/>
    <s v="Resort"/>
    <n v="700"/>
    <s v="Flight"/>
    <n v="800"/>
    <n v="1500"/>
  </r>
  <r>
    <n v="83"/>
    <x v="16"/>
    <d v="2025-04-15T00:00:00"/>
    <d v="2025-04-22T00:00:00"/>
    <n v="7"/>
    <s v="James Kim"/>
    <n v="41"/>
    <s v="Over 40"/>
    <s v="Male"/>
    <s v="American"/>
    <s v="Hotel"/>
    <n v="100"/>
    <s v="N/A"/>
    <s v="N/A"/>
    <n v="100"/>
  </r>
  <r>
    <n v="84"/>
    <x v="5"/>
    <d v="2021-06-15T00:00:00"/>
    <d v="2021-06-20T00:00:00"/>
    <n v="6"/>
    <s v="John Smith"/>
    <n v="35"/>
    <s v="30-40"/>
    <s v="Male"/>
    <s v="American"/>
    <s v="Hotel"/>
    <n v="800"/>
    <s v="Flight"/>
    <n v="500"/>
    <n v="1300"/>
  </r>
  <r>
    <n v="85"/>
    <x v="4"/>
    <d v="2021-07-01T00:00:00"/>
    <d v="2021-07-10T00:00:00"/>
    <n v="10"/>
    <s v="Sarah Lee"/>
    <n v="28"/>
    <s v="Under 30"/>
    <s v="Female"/>
    <s v="Korean"/>
    <s v="Airbnb"/>
    <n v="500"/>
    <s v="Train"/>
    <n v="300"/>
    <n v="800"/>
  </r>
  <r>
    <n v="86"/>
    <x v="2"/>
    <d v="2021-08-10T00:00:00"/>
    <d v="2021-08-20T00:00:00"/>
    <n v="11"/>
    <s v="Maria Garcia"/>
    <n v="42"/>
    <s v="Over 40"/>
    <s v="Female"/>
    <s v="Spanish"/>
    <s v="Resort"/>
    <n v="1200"/>
    <s v="Flight"/>
    <n v="700"/>
    <n v="1900"/>
  </r>
  <r>
    <n v="87"/>
    <x v="6"/>
    <d v="2021-09-01T00:00:00"/>
    <d v="2021-09-10T00:00:00"/>
    <n v="9"/>
    <s v="David Lee"/>
    <n v="45"/>
    <s v="Over 40"/>
    <s v="Male"/>
    <s v="Australian"/>
    <s v="Hotel"/>
    <n v="900"/>
    <s v="Flight"/>
    <n v="600"/>
    <n v="1500"/>
  </r>
  <r>
    <n v="88"/>
    <x v="3"/>
    <d v="2021-10-15T00:00:00"/>
    <d v="2021-10-20T00:00:00"/>
    <n v="6"/>
    <s v="Emily Davis"/>
    <n v="31"/>
    <s v="30-40"/>
    <s v="Female"/>
    <s v="American"/>
    <s v="Airbnb"/>
    <n v="700"/>
    <s v="Car"/>
    <n v="200"/>
    <n v="900"/>
  </r>
  <r>
    <n v="89"/>
    <x v="0"/>
    <d v="2021-11-20T00:00:00"/>
    <d v="2021-11-30T00:00:00"/>
    <n v="11"/>
    <s v="James Wilson"/>
    <n v="29"/>
    <s v="Under 30"/>
    <s v="Male"/>
    <s v="British"/>
    <s v="Hostel"/>
    <n v="300"/>
    <s v="Flight"/>
    <n v="400"/>
    <n v="700"/>
  </r>
  <r>
    <n v="90"/>
    <x v="9"/>
    <d v="2022-01-01T00:00:00"/>
    <d v="2022-01-08T00:00:00"/>
    <n v="8"/>
    <s v="Fatima Ahmed"/>
    <n v="24"/>
    <s v="Under 30"/>
    <s v="Female"/>
    <s v="Emirati"/>
    <s v="Hotel"/>
    <n v="1000"/>
    <s v="Flight"/>
    <n v="800"/>
    <n v="1800"/>
  </r>
  <r>
    <n v="91"/>
    <x v="17"/>
    <d v="2022-02-14T00:00:00"/>
    <d v="2022-02-20T00:00:00"/>
    <n v="7"/>
    <s v="Liam Nguyen"/>
    <n v="26"/>
    <s v="Under 30"/>
    <s v="Male"/>
    <s v="Vietnamese"/>
    <s v="Airbnb"/>
    <n v="400"/>
    <s v="Train"/>
    <n v="100"/>
    <n v="500"/>
  </r>
  <r>
    <n v="92"/>
    <x v="16"/>
    <d v="2022-03-10T00:00:00"/>
    <d v="2022-03-20T00:00:00"/>
    <n v="11"/>
    <s v="Giulia Rossi"/>
    <n v="30"/>
    <s v="30-40"/>
    <s v="Female"/>
    <s v="Italian"/>
    <s v="Hostel"/>
    <n v="200"/>
    <s v="Flight"/>
    <n v="350"/>
    <n v="550"/>
  </r>
  <r>
    <n v="93"/>
    <x v="2"/>
    <d v="2022-04-15T00:00:00"/>
    <d v="2022-04-25T00:00:00"/>
    <n v="11"/>
    <s v="Putra Wijaya"/>
    <n v="33"/>
    <s v="30-40"/>
    <s v="Male"/>
    <s v="Indonesian"/>
    <s v="Villa"/>
    <n v="1500"/>
    <s v="Car"/>
    <n v="300"/>
    <n v="1800"/>
  </r>
  <r>
    <n v="94"/>
    <x v="31"/>
    <d v="2022-05-01T00:00:00"/>
    <d v="2022-05-10T00:00:00"/>
    <n v="10"/>
    <s v="Kim Min-ji"/>
    <n v="27"/>
    <s v="Under 30"/>
    <s v="Female"/>
    <s v="Korean"/>
    <s v="Hotel"/>
    <n v="800"/>
    <s v="Train"/>
    <n v="150"/>
    <n v="950"/>
  </r>
  <r>
    <n v="95"/>
    <x v="5"/>
    <d v="2022-06-15T00:00:00"/>
    <d v="2022-06-20T00:00:00"/>
    <n v="5"/>
    <s v="John Smith"/>
    <n v="35"/>
    <s v="30-40"/>
    <s v="Male"/>
    <s v="USA"/>
    <s v="Hotel"/>
    <n v="500"/>
    <s v="Flight"/>
    <n v="800"/>
    <n v="1300"/>
  </r>
  <r>
    <n v="96"/>
    <x v="4"/>
    <d v="2022-09-01T00:00:00"/>
    <d v="2022-09-10T00:00:00"/>
    <n v="9"/>
    <s v="Emily Johnson"/>
    <n v="28"/>
    <s v="Under 30"/>
    <s v="Female"/>
    <s v="Canada"/>
    <s v="Airbnb"/>
    <n v="400"/>
    <s v="Train"/>
    <n v="200"/>
    <n v="600"/>
  </r>
  <r>
    <n v="97"/>
    <x v="6"/>
    <d v="2022-11-23T00:00:00"/>
    <d v="2022-12-02T00:00:00"/>
    <n v="9"/>
    <s v="David Lee"/>
    <n v="45"/>
    <s v="Over 40"/>
    <s v="Male"/>
    <s v="South Korea"/>
    <s v="Hostel"/>
    <n v="200"/>
    <s v="Flight"/>
    <n v="1200"/>
    <n v="1400"/>
  </r>
  <r>
    <n v="98"/>
    <x v="0"/>
    <d v="2023-02-14T00:00:00"/>
    <d v="2023-02-19T00:00:00"/>
    <n v="5"/>
    <s v="Sarah Brown"/>
    <n v="37"/>
    <s v="30-40"/>
    <s v="Female"/>
    <s v="UK"/>
    <s v="Hotel"/>
    <n v="600"/>
    <s v="Flight"/>
    <n v="700"/>
    <n v="1300"/>
  </r>
  <r>
    <n v="99"/>
    <x v="3"/>
    <d v="2023-05-08T00:00:00"/>
    <d v="2023-05-14T00:00:00"/>
    <n v="6"/>
    <s v="Michael Wong"/>
    <n v="50"/>
    <s v="Over 40"/>
    <s v="Male"/>
    <s v="China"/>
    <s v="Airbnb"/>
    <n v="800"/>
    <s v="Car"/>
    <n v="300"/>
    <n v="1100"/>
  </r>
  <r>
    <n v="100"/>
    <x v="16"/>
    <d v="2023-08-20T00:00:00"/>
    <d v="2023-08-27T00:00:00"/>
    <n v="7"/>
    <s v="Jessica Chen"/>
    <n v="31"/>
    <s v="30-40"/>
    <s v="Female"/>
    <s v="Taiwan"/>
    <s v="Hotel"/>
    <n v="700"/>
    <s v="Flight"/>
    <n v="900"/>
    <n v="1600"/>
  </r>
  <r>
    <n v="101"/>
    <x v="17"/>
    <d v="2023-11-12T00:00:00"/>
    <d v="2023-11-20T00:00:00"/>
    <n v="8"/>
    <s v="Ken Tanaka"/>
    <n v="42"/>
    <s v="Over 40"/>
    <s v="Male"/>
    <s v="Japan"/>
    <s v="Hostel"/>
    <n v="300"/>
    <s v="Train"/>
    <n v="100"/>
    <n v="400"/>
  </r>
  <r>
    <n v="102"/>
    <x v="33"/>
    <d v="2024-01-06T00:00:00"/>
    <d v="2024-01-14T00:00:00"/>
    <n v="8"/>
    <s v="Maria Garcia"/>
    <n v="27"/>
    <s v="Under 30"/>
    <s v="Female"/>
    <s v="Spain"/>
    <s v="Airbnb"/>
    <n v="500"/>
    <s v="Flight"/>
    <n v="1500"/>
    <n v="2000"/>
  </r>
  <r>
    <n v="103"/>
    <x v="7"/>
    <d v="2024-04-03T00:00:00"/>
    <d v="2024-04-10T00:00:00"/>
    <n v="7"/>
    <s v="Rodrigo Oliveira"/>
    <n v="33"/>
    <s v="30-40"/>
    <s v="Male"/>
    <s v="Brazil"/>
    <s v="Hotel"/>
    <n v="900"/>
    <s v="Car"/>
    <n v="400"/>
    <n v="1300"/>
  </r>
  <r>
    <n v="104"/>
    <x v="2"/>
    <d v="2024-07-22T00:00:00"/>
    <d v="2024-07-28T00:00:00"/>
    <n v="6"/>
    <s v="Olivia Kim"/>
    <n v="29"/>
    <s v="Under 30"/>
    <s v="Female"/>
    <s v="South Korea"/>
    <s v="Villa"/>
    <n v="1200"/>
    <s v="Flight"/>
    <n v="1000"/>
    <n v="2200"/>
  </r>
  <r>
    <n v="105"/>
    <x v="8"/>
    <d v="2024-10-10T00:00:00"/>
    <d v="2024-10-17T00:00:00"/>
    <n v="7"/>
    <s v="Robert Mueller"/>
    <n v="41"/>
    <s v="Over 40"/>
    <s v="Male"/>
    <s v="Germany"/>
    <s v="Hotel"/>
    <n v="600"/>
    <s v="Train"/>
    <n v="150"/>
    <n v="750"/>
  </r>
  <r>
    <n v="106"/>
    <x v="5"/>
    <d v="2022-05-15T00:00:00"/>
    <d v="2022-05-20T00:00:00"/>
    <n v="5"/>
    <s v="John Smith"/>
    <n v="35"/>
    <s v="30-40"/>
    <s v="Male"/>
    <s v="USA"/>
    <s v="Hotel"/>
    <n v="1000"/>
    <s v="Flight"/>
    <n v="800"/>
    <n v="1800"/>
  </r>
  <r>
    <n v="107"/>
    <x v="4"/>
    <d v="2022-09-01T00:00:00"/>
    <d v="2022-09-10T00:00:00"/>
    <n v="9"/>
    <s v="Sarah Lee"/>
    <n v="28"/>
    <s v="Under 30"/>
    <s v="Female"/>
    <s v="South Korea"/>
    <s v="Airbnb"/>
    <n v="800"/>
    <s v="Train"/>
    <n v="500"/>
    <n v="1300"/>
  </r>
  <r>
    <n v="108"/>
    <x v="3"/>
    <d v="2022-06-20T00:00:00"/>
    <d v="2022-06-25T00:00:00"/>
    <n v="5"/>
    <s v="Michael Wong"/>
    <n v="42"/>
    <s v="Over 40"/>
    <s v="Male"/>
    <s v="Hong Kong"/>
    <s v="Hotel"/>
    <n v="1200"/>
    <s v="Car"/>
    <n v="200"/>
    <n v="1400"/>
  </r>
  <r>
    <n v="109"/>
    <x v="2"/>
    <d v="2022-08-12T00:00:00"/>
    <d v="2022-08-20T00:00:00"/>
    <n v="8"/>
    <s v="Lisa Chen"/>
    <n v="30"/>
    <s v="30-40"/>
    <s v="Female"/>
    <s v="Taiwan"/>
    <s v="Resort"/>
    <n v="1500"/>
    <s v="Flight"/>
    <n v="1200"/>
    <n v="2700"/>
  </r>
  <r>
    <n v="110"/>
    <x v="6"/>
    <d v="2022-07-01T00:00:00"/>
    <d v="2022-07-10T00:00:00"/>
    <n v="9"/>
    <s v="David Kim"/>
    <n v="26"/>
    <s v="Under 30"/>
    <s v="Male"/>
    <s v="Canada"/>
    <s v="Hostel"/>
    <n v="300"/>
    <s v="Flight"/>
    <n v="900"/>
    <n v="1200"/>
  </r>
  <r>
    <n v="111"/>
    <x v="0"/>
    <d v="2022-06-10T00:00:00"/>
    <d v="2022-06-15T00:00:00"/>
    <n v="5"/>
    <s v="Emily Wong"/>
    <n v="38"/>
    <s v="30-40"/>
    <s v="Female"/>
    <s v="United Kingdom"/>
    <s v="Hotel"/>
    <n v="900"/>
    <s v="Train"/>
    <n v="150"/>
    <n v="1050"/>
  </r>
  <r>
    <n v="112"/>
    <x v="1"/>
    <d v="2022-09-05T00:00:00"/>
    <d v="2022-09-12T00:00:00"/>
    <n v="7"/>
    <s v="Mark Tan"/>
    <n v="45"/>
    <s v="Over 40"/>
    <s v="Male"/>
    <s v="Singapore"/>
    <s v="Villa"/>
    <n v="2000"/>
    <s v="Flight"/>
    <n v="700"/>
    <n v="2700"/>
  </r>
  <r>
    <n v="113"/>
    <x v="16"/>
    <d v="2022-05-01T00:00:00"/>
    <d v="2022-05-08T00:00:00"/>
    <n v="7"/>
    <s v="Emma Lee"/>
    <n v="31"/>
    <s v="30-40"/>
    <s v="Female"/>
    <s v="Italy"/>
    <s v="Hotel"/>
    <n v="1100"/>
    <s v="Train"/>
    <n v="250"/>
    <n v="1350"/>
  </r>
  <r>
    <n v="114"/>
    <x v="35"/>
    <d v="2022-07-15T00:00:00"/>
    <d v="2022-07-22T00:00:00"/>
    <n v="7"/>
    <s v="George Chen"/>
    <n v="27"/>
    <s v="Under 30"/>
    <s v="Male"/>
    <s v="Greece"/>
    <s v="Airbnb"/>
    <n v="1000"/>
    <s v="Ferry"/>
    <n v="150"/>
    <n v="1150"/>
  </r>
  <r>
    <n v="115"/>
    <x v="9"/>
    <d v="2022-08-25T00:00:00"/>
    <d v="2022-08-30T00:00:00"/>
    <n v="5"/>
    <s v="Sophia Kim"/>
    <n v="29"/>
    <s v="Under 30"/>
    <s v="Female"/>
    <s v="United Arab Emirates"/>
    <s v="Hotel"/>
    <n v="1500"/>
    <s v="Car"/>
    <n v="300"/>
    <n v="1800"/>
  </r>
  <r>
    <n v="116"/>
    <x v="36"/>
    <d v="2022-09-10T00:00:00"/>
    <d v="2022-09-15T00:00:00"/>
    <n v="5"/>
    <s v="Alex Ng"/>
    <n v="33"/>
    <s v="30-40"/>
    <s v="Male"/>
    <s v="Cambodia"/>
    <s v="Hostel"/>
    <n v="200"/>
    <s v="Flight"/>
    <n v="500"/>
    <n v="700"/>
  </r>
  <r>
    <n v="117"/>
    <x v="4"/>
    <d v="2022-02-05T00:00:00"/>
    <d v="2022-02-14T00:00:00"/>
    <n v="9"/>
    <s v="Alice Smith"/>
    <n v="32"/>
    <s v="30-40"/>
    <s v="Female"/>
    <s v="American"/>
    <s v="Hotel"/>
    <n v="1000"/>
    <s v="Flight"/>
    <n v="700"/>
    <n v="1700"/>
  </r>
  <r>
    <n v="118"/>
    <x v="5"/>
    <d v="2022-03-15T00:00:00"/>
    <d v="2022-03-22T00:00:00"/>
    <n v="7"/>
    <s v="Bob Johnson"/>
    <n v="47"/>
    <s v="Over 40"/>
    <s v="Male"/>
    <s v="Canadian"/>
    <s v="Hotel"/>
    <n v="1200"/>
    <s v="Train"/>
    <n v="500"/>
    <n v="1700"/>
  </r>
  <r>
    <n v="119"/>
    <x v="6"/>
    <d v="2022-05-01T00:00:00"/>
    <d v="2022-05-12T00:00:00"/>
    <n v="11"/>
    <s v="Cindy Chen"/>
    <n v="26"/>
    <s v="Under 30"/>
    <s v="Female"/>
    <s v="Chinese"/>
    <s v="Airbnb"/>
    <n v="800"/>
    <s v="Flight"/>
    <n v="1000"/>
    <n v="1800"/>
  </r>
  <r>
    <n v="120"/>
    <x v="16"/>
    <d v="2022-06-10T00:00:00"/>
    <d v="2022-06-17T00:00:00"/>
    <n v="7"/>
    <s v="David Lee"/>
    <n v="38"/>
    <s v="30-40"/>
    <s v="Male"/>
    <s v="Korean"/>
    <s v="Hotel"/>
    <n v="900"/>
    <s v="Train"/>
    <n v="400"/>
    <n v="1300"/>
  </r>
  <r>
    <n v="121"/>
    <x v="2"/>
    <d v="2022-07-20T00:00:00"/>
    <d v="2022-07-30T00:00:00"/>
    <n v="10"/>
    <s v="Emily Kim"/>
    <n v="29"/>
    <s v="Under 30"/>
    <s v="Female"/>
    <s v="Korean"/>
    <s v="Hostel"/>
    <n v="500"/>
    <s v="Flight"/>
    <n v="800"/>
    <n v="1300"/>
  </r>
  <r>
    <n v="122"/>
    <x v="10"/>
    <d v="2022-08-08T00:00:00"/>
    <d v="2022-08-16T00:00:00"/>
    <n v="8"/>
    <s v="Frank Li"/>
    <n v="41"/>
    <s v="Over 40"/>
    <s v="Male"/>
    <s v="American"/>
    <s v="Hotel"/>
    <n v="1300"/>
    <s v="Flight"/>
    <n v="600"/>
    <n v="1900"/>
  </r>
  <r>
    <n v="123"/>
    <x v="37"/>
    <d v="2022-09-20T00:00:00"/>
    <d v="2022-09-30T00:00:00"/>
    <n v="10"/>
    <s v="Gina Lee"/>
    <n v="35"/>
    <s v="30-40"/>
    <s v="Female"/>
    <s v="Korean"/>
    <s v="Airbnb"/>
    <n v="700"/>
    <s v="Flight"/>
    <n v="900"/>
    <n v="1600"/>
  </r>
  <r>
    <n v="124"/>
    <x v="4"/>
    <d v="2022-10-05T00:00:00"/>
    <d v="2022-10-13T00:00:00"/>
    <n v="8"/>
    <s v="Henry Kim"/>
    <n v="24"/>
    <s v="Under 30"/>
    <s v="Male"/>
    <s v="Korean"/>
    <s v="Hotel"/>
    <n v="1200"/>
    <s v="Flight"/>
    <n v="700"/>
    <n v="1900"/>
  </r>
  <r>
    <n v="125"/>
    <x v="6"/>
    <d v="2022-11-11T00:00:00"/>
    <d v="2022-11-21T00:00:00"/>
    <n v="10"/>
    <s v="Isabella Chen"/>
    <n v="30"/>
    <s v="30-40"/>
    <s v="Female"/>
    <s v="Chinese"/>
    <s v="Airbnb"/>
    <n v="900"/>
    <s v="Flight"/>
    <n v="1000"/>
    <n v="1900"/>
  </r>
  <r>
    <n v="126"/>
    <x v="5"/>
    <d v="2022-12-24T00:00:00"/>
    <d v="2023-01-01T00:00:00"/>
    <n v="8"/>
    <s v="Jack Smith"/>
    <n v="28"/>
    <s v="Under 30"/>
    <s v="Male"/>
    <s v="American"/>
    <s v="Hostel"/>
    <n v="400"/>
    <s v="Flight"/>
    <n v="700"/>
    <n v="1100"/>
  </r>
  <r>
    <n v="127"/>
    <x v="2"/>
    <d v="2023-02-10T00:00:00"/>
    <d v="2023-02-18T00:00:00"/>
    <n v="8"/>
    <s v="Katie Johnson"/>
    <n v="33"/>
    <s v="30-40"/>
    <s v="Female"/>
    <s v="Canadian"/>
    <s v="Hotel"/>
    <n v="800"/>
    <s v="Flight"/>
    <n v="800"/>
    <n v="1600"/>
  </r>
  <r>
    <n v="128"/>
    <x v="34"/>
    <s v="N/A"/>
    <s v="N/A"/>
    <s v="N/A"/>
    <s v="N/A"/>
    <s v="N/A"/>
    <s v="Over 40"/>
    <s v="N/A"/>
    <s v="N/A"/>
    <s v="N/A"/>
    <s v="N/A"/>
    <s v="N/A"/>
    <s v="N/A"/>
    <n v="0"/>
  </r>
  <r>
    <n v="129"/>
    <x v="5"/>
    <d v="2023-05-01T00:00:00"/>
    <d v="2023-05-07T00:00:00"/>
    <n v="6"/>
    <s v="John Doe"/>
    <n v="35"/>
    <s v="30-40"/>
    <s v="Male"/>
    <s v="American"/>
    <s v="Hotel"/>
    <n v="5000"/>
    <s v="Flight"/>
    <n v="2500"/>
    <n v="7500"/>
  </r>
  <r>
    <n v="130"/>
    <x v="4"/>
    <d v="2023-05-15T00:00:00"/>
    <d v="2023-05-22T00:00:00"/>
    <n v="7"/>
    <s v="Jane Smith"/>
    <n v="28"/>
    <s v="Under 30"/>
    <s v="Female"/>
    <s v="British"/>
    <s v="Airbnb"/>
    <n v="7000"/>
    <s v="Train"/>
    <n v="1500"/>
    <n v="8500"/>
  </r>
  <r>
    <n v="131"/>
    <x v="33"/>
    <d v="2023-06-01T00:00:00"/>
    <d v="2023-06-10T00:00:00"/>
    <n v="9"/>
    <s v="Michael Johnson"/>
    <n v="45"/>
    <s v="Over 40"/>
    <s v="Male"/>
    <s v="South African"/>
    <s v="Hostel"/>
    <n v="3000"/>
    <s v="Car"/>
    <n v="2000"/>
    <n v="5000"/>
  </r>
  <r>
    <n v="132"/>
    <x v="6"/>
    <d v="2023-06-15T00:00:00"/>
    <d v="2023-06-21T00:00:00"/>
    <n v="6"/>
    <s v="Sarah Lee"/>
    <n v="31"/>
    <s v="30-40"/>
    <s v="Female"/>
    <s v="Australian"/>
    <s v="Hotel"/>
    <n v="6000"/>
    <s v="Flight"/>
    <n v="3000"/>
    <n v="9000"/>
  </r>
  <r>
    <n v="133"/>
    <x v="16"/>
    <d v="2023-07-01T00:00:00"/>
    <d v="2023-07-08T00:00:00"/>
    <n v="7"/>
    <s v="David Kim"/>
    <n v="42"/>
    <s v="Over 40"/>
    <s v="Male"/>
    <s v="Korean"/>
    <s v="Airbnb"/>
    <n v="4000"/>
    <s v="Train"/>
    <n v="1500"/>
    <n v="5500"/>
  </r>
  <r>
    <n v="134"/>
    <x v="3"/>
    <d v="2023-07-15T00:00:00"/>
    <d v="2023-07-22T00:00:00"/>
    <n v="7"/>
    <s v="Emily Davis"/>
    <n v="27"/>
    <s v="Under 30"/>
    <s v="Female"/>
    <s v="American"/>
    <s v="Hotel"/>
    <n v="8000"/>
    <s v="Flight"/>
    <n v="2500"/>
    <n v="10500"/>
  </r>
  <r>
    <n v="135"/>
    <x v="7"/>
    <d v="2023-08-01T00:00:00"/>
    <d v="2023-08-10T00:00:00"/>
    <n v="9"/>
    <s v="Jose Perez"/>
    <n v="37"/>
    <s v="30-40"/>
    <s v="Male"/>
    <s v="Brazilian"/>
    <s v="Hostel"/>
    <n v="2500"/>
    <s v="Car"/>
    <n v="2000"/>
    <n v="4500"/>
  </r>
  <r>
    <n v="136"/>
    <x v="30"/>
    <d v="2023-08-15T00:00:00"/>
    <d v="2023-08-21T00:00:00"/>
    <n v="6"/>
    <s v="Emma Wilson"/>
    <n v="29"/>
    <s v="Under 30"/>
    <s v="Female"/>
    <s v="Canadian"/>
    <s v="Hotel"/>
    <n v="5000"/>
    <s v="Flight"/>
    <n v="3000"/>
    <n v="8000"/>
  </r>
  <r>
    <n v="137"/>
    <x v="17"/>
    <d v="2023-09-01T00:00:00"/>
    <d v="2023-09-08T00:00:00"/>
    <n v="7"/>
    <s v="Ryan Chen"/>
    <n v="34"/>
    <s v="30-40"/>
    <s v="Male"/>
    <s v="Chinese"/>
    <s v="Hostel"/>
    <n v="2000"/>
    <s v="Train"/>
    <n v="1000"/>
    <n v="3000"/>
  </r>
  <r>
    <n v="138"/>
    <x v="11"/>
    <d v="2023-09-15T00:00:00"/>
    <d v="2023-09-22T00:00:00"/>
    <n v="7"/>
    <s v="Sofia Rodriguez"/>
    <n v="25"/>
    <s v="Under 30"/>
    <s v="Female"/>
    <s v="Spanish"/>
    <s v="Airbnb"/>
    <n v="6000"/>
    <s v="Flight"/>
    <n v="2500"/>
    <n v="8500"/>
  </r>
  <r>
    <n v="139"/>
    <x v="38"/>
    <d v="2023-10-01T00:00:00"/>
    <d v="2023-10-08T00:00:00"/>
    <n v="7"/>
    <s v="William Brown"/>
    <n v="39"/>
    <s v="30-40"/>
    <s v="Male"/>
    <s v="New Zealander"/>
    <s v="Hotel"/>
    <n v="7000"/>
    <s v="Train"/>
    <n v="2500"/>
    <n v="9500"/>
  </r>
  <r>
    <m/>
    <x v="39"/>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63:J70" firstHeaderRow="1" firstDataRow="3" firstDataCol="1"/>
  <pivotFields count="14">
    <pivotField showAll="0"/>
    <pivotField axis="axisRow" showAll="0" measureFilter="1" sortType="descending">
      <items count="41">
        <item x="39"/>
        <item x="30"/>
        <item x="4"/>
        <item x="20"/>
        <item x="6"/>
        <item x="28"/>
        <item x="31"/>
        <item x="35"/>
        <item x="16"/>
        <item x="7"/>
        <item x="1"/>
        <item x="36"/>
        <item x="5"/>
        <item x="3"/>
        <item x="34"/>
        <item x="26"/>
        <item x="14"/>
        <item x="32"/>
        <item x="0"/>
        <item x="19"/>
        <item x="27"/>
        <item x="12"/>
        <item x="18"/>
        <item x="24"/>
        <item x="21"/>
        <item x="25"/>
        <item x="15"/>
        <item x="9"/>
        <item x="33"/>
        <item x="10"/>
        <item x="29"/>
        <item x="23"/>
        <item x="13"/>
        <item x="11"/>
        <item x="17"/>
        <item x="2"/>
        <item x="22"/>
        <item x="38"/>
        <item x="3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showAll="0">
      <items count="5">
        <item x="0"/>
        <item x="2"/>
        <item x="1"/>
        <item x="3"/>
        <item t="default"/>
      </items>
    </pivotField>
    <pivotField axis="axisCol" dataField="1" showAll="0">
      <items count="5">
        <item h="1" x="3"/>
        <item h="1" x="2"/>
        <item x="0"/>
        <item x="1"/>
        <item t="default"/>
      </items>
    </pivotField>
    <pivotField showAll="0"/>
    <pivotField showAll="0"/>
    <pivotField showAll="0"/>
    <pivotField showAll="0"/>
    <pivotField showAll="0"/>
  </pivotFields>
  <rowFields count="1">
    <field x="1"/>
  </rowFields>
  <rowItems count="5">
    <i>
      <x v="12"/>
    </i>
    <i>
      <x v="35"/>
    </i>
    <i>
      <x v="2"/>
    </i>
    <i>
      <x v="4"/>
    </i>
    <i t="grand">
      <x/>
    </i>
  </rowItems>
  <colFields count="2">
    <field x="8"/>
    <field x="7"/>
  </colFields>
  <colItems count="9">
    <i>
      <x v="2"/>
      <x/>
    </i>
    <i r="1">
      <x v="1"/>
    </i>
    <i r="1">
      <x v="2"/>
    </i>
    <i t="default">
      <x v="2"/>
    </i>
    <i>
      <x v="3"/>
      <x/>
    </i>
    <i r="1">
      <x v="1"/>
    </i>
    <i r="1">
      <x v="2"/>
    </i>
    <i t="default">
      <x v="3"/>
    </i>
    <i t="grand">
      <x/>
    </i>
  </colItems>
  <dataFields count="1">
    <dataField name="Count of Traveler gender" fld="8" subtotal="count" baseField="0" baseItem="0"/>
  </dataFields>
  <chartFormats count="6">
    <chartFormat chart="0" format="0" series="1">
      <pivotArea type="data" outline="0" fieldPosition="0">
        <references count="3">
          <reference field="4294967294" count="1" selected="0">
            <x v="0"/>
          </reference>
          <reference field="7" count="1" selected="0">
            <x v="0"/>
          </reference>
          <reference field="8" count="1" selected="0">
            <x v="2"/>
          </reference>
        </references>
      </pivotArea>
    </chartFormat>
    <chartFormat chart="0" format="1" series="1">
      <pivotArea type="data" outline="0" fieldPosition="0">
        <references count="3">
          <reference field="4294967294" count="1" selected="0">
            <x v="0"/>
          </reference>
          <reference field="7" count="1" selected="0">
            <x v="1"/>
          </reference>
          <reference field="8" count="1" selected="0">
            <x v="2"/>
          </reference>
        </references>
      </pivotArea>
    </chartFormat>
    <chartFormat chart="0" format="2" series="1">
      <pivotArea type="data" outline="0" fieldPosition="0">
        <references count="3">
          <reference field="4294967294" count="1" selected="0">
            <x v="0"/>
          </reference>
          <reference field="7" count="1" selected="0">
            <x v="2"/>
          </reference>
          <reference field="8" count="1" selected="0">
            <x v="2"/>
          </reference>
        </references>
      </pivotArea>
    </chartFormat>
    <chartFormat chart="0" format="3" series="1">
      <pivotArea type="data" outline="0" fieldPosition="0">
        <references count="3">
          <reference field="4294967294" count="1" selected="0">
            <x v="0"/>
          </reference>
          <reference field="7" count="1" selected="0">
            <x v="0"/>
          </reference>
          <reference field="8" count="1" selected="0">
            <x v="3"/>
          </reference>
        </references>
      </pivotArea>
    </chartFormat>
    <chartFormat chart="0" format="4" series="1">
      <pivotArea type="data" outline="0" fieldPosition="0">
        <references count="3">
          <reference field="4294967294" count="1" selected="0">
            <x v="0"/>
          </reference>
          <reference field="7" count="1" selected="0">
            <x v="1"/>
          </reference>
          <reference field="8" count="1" selected="0">
            <x v="3"/>
          </reference>
        </references>
      </pivotArea>
    </chartFormat>
    <chartFormat chart="0" format="5" series="1">
      <pivotArea type="data" outline="0" fieldPosition="0">
        <references count="3">
          <reference field="4294967294" count="1" selected="0">
            <x v="0"/>
          </reference>
          <reference field="7" count="1" selected="0">
            <x v="2"/>
          </reference>
          <reference field="8" count="1" selected="0">
            <x v="3"/>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4" filterVal="4"/>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2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4:D59" firstHeaderRow="1" firstDataRow="2" firstDataCol="1"/>
  <pivotFields count="14">
    <pivotField showAll="0"/>
    <pivotField dataField="1"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showAll="0"/>
    <pivotField showAll="0"/>
    <pivotField showAll="0"/>
    <pivotField axis="axisRow" showAll="0">
      <items count="5">
        <item x="0"/>
        <item x="2"/>
        <item x="1"/>
        <item x="3"/>
        <item t="default"/>
      </items>
    </pivotField>
    <pivotField axis="axisCol" showAll="0">
      <items count="5">
        <item x="1"/>
        <item x="0"/>
        <item h="1" x="2"/>
        <item h="1" x="3"/>
        <item t="default"/>
      </items>
    </pivotField>
    <pivotField showAll="0"/>
    <pivotField showAll="0"/>
    <pivotField showAll="0"/>
    <pivotField showAll="0"/>
    <pivotField showAll="0"/>
  </pivotFields>
  <rowFields count="1">
    <field x="7"/>
  </rowFields>
  <rowItems count="4">
    <i>
      <x/>
    </i>
    <i>
      <x v="1"/>
    </i>
    <i>
      <x v="2"/>
    </i>
    <i t="grand">
      <x/>
    </i>
  </rowItems>
  <colFields count="1">
    <field x="8"/>
  </colFields>
  <colItems count="3">
    <i>
      <x/>
    </i>
    <i>
      <x v="1"/>
    </i>
    <i t="grand">
      <x/>
    </i>
  </colItems>
  <dataFields count="1">
    <dataField name="Count of Destination"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3C0D1B-C081-4D82-8EAD-5075F0420B1D}"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2:B39"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9">
        <item h="1" x="7"/>
        <item x="1"/>
        <item x="4"/>
        <item h="1" x="5"/>
        <item x="0"/>
        <item x="6"/>
        <item x="3"/>
        <item x="2"/>
        <item t="default"/>
      </items>
      <autoSortScope>
        <pivotArea dataOnly="0" outline="0" fieldPosition="0">
          <references count="1">
            <reference field="4294967294" count="1" selected="0">
              <x v="0"/>
            </reference>
          </references>
        </pivotArea>
      </autoSortScope>
    </pivotField>
    <pivotField showAll="0"/>
  </pivotFields>
  <rowFields count="1">
    <field x="12"/>
  </rowFields>
  <rowItems count="7">
    <i>
      <x v="4"/>
    </i>
    <i>
      <x v="1"/>
    </i>
    <i>
      <x v="6"/>
    </i>
    <i>
      <x v="7"/>
    </i>
    <i>
      <x v="2"/>
    </i>
    <i>
      <x v="5"/>
    </i>
    <i t="grand">
      <x/>
    </i>
  </rowItems>
  <colItems count="1">
    <i/>
  </colItems>
  <dataFields count="1">
    <dataField name="Count of Transportation type" fld="12"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5AE91B-22EE-4D90-B8D8-AA3132B7DCBB}"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9:C148" firstHeaderRow="0" firstDataRow="1" firstDataCol="1"/>
  <pivotFields count="15">
    <pivotField showAll="0"/>
    <pivotField axis="axisRow" showAll="0">
      <items count="41">
        <item x="8"/>
        <item x="37"/>
        <item x="38"/>
        <item x="22"/>
        <item x="2"/>
        <item x="17"/>
        <item x="11"/>
        <item x="13"/>
        <item x="23"/>
        <item x="29"/>
        <item x="10"/>
        <item x="33"/>
        <item x="9"/>
        <item x="15"/>
        <item x="25"/>
        <item x="21"/>
        <item x="24"/>
        <item x="18"/>
        <item x="12"/>
        <item x="27"/>
        <item x="19"/>
        <item x="0"/>
        <item x="32"/>
        <item x="14"/>
        <item x="26"/>
        <item h="1" x="34"/>
        <item x="3"/>
        <item x="5"/>
        <item x="36"/>
        <item x="1"/>
        <item x="7"/>
        <item x="16"/>
        <item x="35"/>
        <item x="31"/>
        <item x="28"/>
        <item x="6"/>
        <item x="20"/>
        <item x="4"/>
        <item x="30"/>
        <item h="1" x="39"/>
        <item t="default"/>
      </items>
    </pivotField>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1">
    <field x="1"/>
  </rowFields>
  <rowItems count="39">
    <i>
      <x/>
    </i>
    <i>
      <x v="1"/>
    </i>
    <i>
      <x v="2"/>
    </i>
    <i>
      <x v="3"/>
    </i>
    <i>
      <x v="4"/>
    </i>
    <i>
      <x v="5"/>
    </i>
    <i>
      <x v="6"/>
    </i>
    <i>
      <x v="7"/>
    </i>
    <i>
      <x v="8"/>
    </i>
    <i>
      <x v="9"/>
    </i>
    <i>
      <x v="10"/>
    </i>
    <i>
      <x v="11"/>
    </i>
    <i>
      <x v="12"/>
    </i>
    <i>
      <x v="13"/>
    </i>
    <i>
      <x v="14"/>
    </i>
    <i>
      <x v="15"/>
    </i>
    <i>
      <x v="16"/>
    </i>
    <i>
      <x v="17"/>
    </i>
    <i>
      <x v="18"/>
    </i>
    <i>
      <x v="19"/>
    </i>
    <i>
      <x v="20"/>
    </i>
    <i>
      <x v="21"/>
    </i>
    <i>
      <x v="22"/>
    </i>
    <i>
      <x v="23"/>
    </i>
    <i>
      <x v="24"/>
    </i>
    <i>
      <x v="26"/>
    </i>
    <i>
      <x v="27"/>
    </i>
    <i>
      <x v="28"/>
    </i>
    <i>
      <x v="29"/>
    </i>
    <i>
      <x v="30"/>
    </i>
    <i>
      <x v="31"/>
    </i>
    <i>
      <x v="32"/>
    </i>
    <i>
      <x v="33"/>
    </i>
    <i>
      <x v="34"/>
    </i>
    <i>
      <x v="35"/>
    </i>
    <i>
      <x v="36"/>
    </i>
    <i>
      <x v="37"/>
    </i>
    <i>
      <x v="38"/>
    </i>
    <i t="grand">
      <x/>
    </i>
  </rowItems>
  <colFields count="1">
    <field x="-2"/>
  </colFields>
  <colItems count="2">
    <i>
      <x/>
    </i>
    <i i="1">
      <x v="1"/>
    </i>
  </colItems>
  <dataFields count="2">
    <dataField name="Average of Accommodation cost" fld="11" subtotal="average" baseField="1" baseItem="0"/>
    <dataField name="Average of Transportation cost" fld="13" subtotal="average" baseField="1"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31F941-0B68-4845-9BB8-0C75E92620A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4:B90" firstHeaderRow="1" firstDataRow="1" firstDataCol="1"/>
  <pivotFields count="14">
    <pivotField showAll="0"/>
    <pivotField showAll="0"/>
    <pivotField showAll="0"/>
    <pivotField showAll="0"/>
    <pivotField showAll="0"/>
    <pivotField showAll="0"/>
    <pivotField showAll="0"/>
    <pivotField showAll="0"/>
    <pivotField showAll="0"/>
    <pivotField showAll="0"/>
    <pivotField axis="axisRow" showAll="0" sortType="ascending">
      <items count="11">
        <item h="1" x="9"/>
        <item h="1" x="2"/>
        <item h="1" x="6"/>
        <item h="1" x="5"/>
        <item x="1"/>
        <item h="1" x="7"/>
        <item x="0"/>
        <item x="4"/>
        <item x="8"/>
        <item x="3"/>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s>
  <rowFields count="1">
    <field x="10"/>
  </rowFields>
  <rowItems count="6">
    <i>
      <x v="8"/>
    </i>
    <i>
      <x v="7"/>
    </i>
    <i>
      <x v="9"/>
    </i>
    <i>
      <x v="6"/>
    </i>
    <i>
      <x v="4"/>
    </i>
    <i t="grand">
      <x/>
    </i>
  </rowItems>
  <colItems count="1">
    <i/>
  </colItems>
  <dataFields count="1">
    <dataField name="Average of Accommodation cost" fld="11" subtotal="average" baseField="10" baseItem="0"/>
  </dataFields>
  <formats count="2">
    <format dxfId="2">
      <pivotArea collapsedLevelsAreSubtotals="1" fieldPosition="0">
        <references count="1">
          <reference field="10" count="9">
            <x v="1"/>
            <x v="2"/>
            <x v="3"/>
            <x v="4"/>
            <x v="5"/>
            <x v="6"/>
            <x v="7"/>
            <x v="8"/>
            <x v="9"/>
          </reference>
        </references>
      </pivotArea>
    </format>
    <format dxfId="1">
      <pivotArea collapsedLevelsAreSubtotals="1" fieldPosition="0">
        <references count="1">
          <reference field="10" count="1">
            <x v="4"/>
          </reference>
        </references>
      </pivotArea>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A9" firstHeaderRow="1" firstDataRow="1" firstDataCol="0"/>
  <pivotFields count="14">
    <pivotField showAll="0"/>
    <pivotField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Duration (days)" fld="4" subtotal="average" baseField="0" baseItem="1388450104" numFmtId="1"/>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4:E81" firstHeaderRow="1" firstDataRow="2" firstDataCol="1"/>
  <pivotFields count="14">
    <pivotField showAll="0"/>
    <pivotField axis="axisRow" showAll="0" sortType="descending">
      <items count="41">
        <item x="8"/>
        <item x="37"/>
        <item h="1" x="38"/>
        <item x="22"/>
        <item h="1" x="2"/>
        <item x="17"/>
        <item h="1" x="11"/>
        <item h="1" x="13"/>
        <item x="23"/>
        <item h="1" x="29"/>
        <item h="1" x="10"/>
        <item h="1" x="33"/>
        <item h="1" x="9"/>
        <item h="1" x="15"/>
        <item h="1" x="25"/>
        <item h="1" x="21"/>
        <item h="1" x="24"/>
        <item h="1" x="18"/>
        <item h="1" x="12"/>
        <item h="1" x="27"/>
        <item h="1" x="19"/>
        <item h="1" x="0"/>
        <item h="1" x="32"/>
        <item h="1" x="14"/>
        <item h="1" x="26"/>
        <item h="1" x="34"/>
        <item h="1" x="3"/>
        <item h="1" x="5"/>
        <item h="1" x="36"/>
        <item h="1" x="1"/>
        <item h="1" x="7"/>
        <item h="1" x="16"/>
        <item h="1" x="35"/>
        <item h="1" x="31"/>
        <item h="1" x="28"/>
        <item h="1" x="6"/>
        <item h="1" x="20"/>
        <item h="1" x="4"/>
        <item h="1" x="30"/>
        <item h="1" x="3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axis="axisCol" dataField="1" showAll="0">
      <items count="5">
        <item x="0"/>
        <item x="2"/>
        <item x="1"/>
        <item h="1" x="3"/>
        <item t="default"/>
      </items>
    </pivotField>
    <pivotField showAll="0"/>
    <pivotField showAll="0"/>
    <pivotField showAll="0"/>
    <pivotField showAll="0"/>
    <pivotField showAll="0"/>
    <pivotField showAll="0"/>
  </pivotFields>
  <rowFields count="1">
    <field x="1"/>
  </rowFields>
  <rowItems count="6">
    <i>
      <x v="5"/>
    </i>
    <i>
      <x/>
    </i>
    <i>
      <x v="8"/>
    </i>
    <i>
      <x v="1"/>
    </i>
    <i>
      <x v="3"/>
    </i>
    <i t="grand">
      <x/>
    </i>
  </rowItems>
  <colFields count="1">
    <field x="7"/>
  </colFields>
  <colItems count="4">
    <i>
      <x/>
    </i>
    <i>
      <x v="1"/>
    </i>
    <i>
      <x v="2"/>
    </i>
    <i t="grand">
      <x/>
    </i>
  </colItems>
  <dataFields count="1">
    <dataField name="Count of Traveler Age Group" fld="7" subtotal="count" baseField="0" baseItem="0"/>
  </dataFields>
  <chartFormats count="6">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2" format="6" series="1">
      <pivotArea type="data" outline="0" fieldPosition="0">
        <references count="2">
          <reference field="4294967294" count="1" selected="0">
            <x v="0"/>
          </reference>
          <reference field="7" count="1" selected="0">
            <x v="0"/>
          </reference>
        </references>
      </pivotArea>
    </chartFormat>
    <chartFormat chart="2" format="7" series="1">
      <pivotArea type="data" outline="0" fieldPosition="0">
        <references count="2">
          <reference field="4294967294" count="1" selected="0">
            <x v="0"/>
          </reference>
          <reference field="7" count="1" selected="0">
            <x v="1"/>
          </reference>
        </references>
      </pivotArea>
    </chartFormat>
    <chartFormat chart="2" format="8"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3:B29" firstHeaderRow="1" firstDataRow="1" firstDataCol="1"/>
  <pivotFields count="14">
    <pivotField showAll="0"/>
    <pivotField axis="axisRow" dataField="1" showAll="0" measureFilter="1" sortType="descending">
      <items count="41">
        <item x="39"/>
        <item x="30"/>
        <item x="4"/>
        <item x="20"/>
        <item x="6"/>
        <item x="28"/>
        <item x="31"/>
        <item x="35"/>
        <item x="16"/>
        <item x="7"/>
        <item x="1"/>
        <item x="36"/>
        <item x="5"/>
        <item x="3"/>
        <item x="34"/>
        <item x="26"/>
        <item x="14"/>
        <item x="32"/>
        <item x="0"/>
        <item x="19"/>
        <item x="27"/>
        <item x="12"/>
        <item x="18"/>
        <item x="24"/>
        <item x="21"/>
        <item x="25"/>
        <item x="15"/>
        <item x="9"/>
        <item x="33"/>
        <item x="10"/>
        <item x="29"/>
        <item x="23"/>
        <item x="13"/>
        <item x="11"/>
        <item x="17"/>
        <item x="2"/>
        <item x="22"/>
        <item x="38"/>
        <item x="37"/>
        <item x="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11">
        <item x="3"/>
        <item h="1" x="8"/>
        <item h="1" x="4"/>
        <item h="1" x="0"/>
        <item h="1" x="7"/>
        <item h="1" x="1"/>
        <item h="1" x="5"/>
        <item h="1" x="6"/>
        <item h="1" x="2"/>
        <item h="1" x="9"/>
        <item t="default"/>
      </items>
    </pivotField>
    <pivotField showAll="0"/>
    <pivotField showAll="0">
      <items count="12">
        <item x="9"/>
        <item x="3"/>
        <item x="7"/>
        <item x="4"/>
        <item x="8"/>
        <item x="0"/>
        <item x="6"/>
        <item x="2"/>
        <item x="5"/>
        <item x="1"/>
        <item x="10"/>
        <item t="default"/>
      </items>
    </pivotField>
    <pivotField showAll="0"/>
  </pivotFields>
  <rowFields count="1">
    <field x="1"/>
  </rowFields>
  <rowItems count="6">
    <i>
      <x v="12"/>
    </i>
    <i>
      <x v="4"/>
    </i>
    <i>
      <x v="35"/>
    </i>
    <i>
      <x v="2"/>
    </i>
    <i>
      <x v="13"/>
    </i>
    <i t="grand">
      <x/>
    </i>
  </rowItems>
  <colItems count="1">
    <i/>
  </colItems>
  <dataFields count="1">
    <dataField name="Count of Destination"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showAll="0"/>
    <pivotField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Accommodation cost" fld="11" subtotal="average" baseField="0" baseItem="1388450104"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BD5CFA3-8F39-44C0-900E-2C4AF29EB98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97:B104" firstHeaderRow="1" firstDataRow="1" firstDataCol="1"/>
  <pivotFields count="14">
    <pivotField showAll="0"/>
    <pivotField showAll="0"/>
    <pivotField showAll="0"/>
    <pivotField showAll="0"/>
    <pivotField showAll="0"/>
    <pivotField showAll="0"/>
    <pivotField showAll="0"/>
    <pivotField showAll="0"/>
    <pivotField showAll="0"/>
    <pivotField showAll="0"/>
    <pivotField showAll="0">
      <items count="11">
        <item x="3"/>
        <item x="8"/>
        <item x="4"/>
        <item x="0"/>
        <item x="7"/>
        <item x="1"/>
        <item x="5"/>
        <item x="6"/>
        <item x="2"/>
        <item x="9"/>
        <item t="default"/>
      </items>
    </pivotField>
    <pivotField showAll="0"/>
    <pivotField axis="axisRow" showAll="0">
      <items count="9">
        <item x="2"/>
        <item x="3"/>
        <item x="6"/>
        <item x="0"/>
        <item h="1" x="5"/>
        <item x="4"/>
        <item x="1"/>
        <item h="1" x="7"/>
        <item t="default"/>
      </items>
    </pivotField>
    <pivotField dataField="1" showAll="0"/>
  </pivotFields>
  <rowFields count="1">
    <field x="12"/>
  </rowFields>
  <rowItems count="7">
    <i>
      <x/>
    </i>
    <i>
      <x v="1"/>
    </i>
    <i>
      <x v="2"/>
    </i>
    <i>
      <x v="3"/>
    </i>
    <i>
      <x v="5"/>
    </i>
    <i>
      <x v="6"/>
    </i>
    <i t="grand">
      <x/>
    </i>
  </rowItems>
  <colItems count="1">
    <i/>
  </colItems>
  <dataFields count="1">
    <dataField name="Average of Transportation cost" fld="13" subtotal="average" baseField="12" baseItem="0"/>
  </dataFields>
  <formats count="1">
    <format dxfId="5">
      <pivotArea collapsedLevelsAreSubtotals="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2" format="2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pivotField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Trip ID" fld="0" subtotal="count" baseField="0" baseItem="138845010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A19" firstHeaderRow="1" firstDataRow="1" firstDataCol="0"/>
  <pivotFields count="14">
    <pivotField showAll="0"/>
    <pivotField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Average of Transportation cost" fld="13" subtotal="average" baseField="0" baseItem="1388450104"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16DE613-DCF1-43BF-B96E-E76C5E8CE7FD}"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5:B196" firstHeaderRow="1" firstDataRow="1" firstDataCol="1"/>
  <pivotFields count="15">
    <pivotField showAll="0"/>
    <pivotField axis="axisRow" showAll="0">
      <items count="41">
        <item x="8"/>
        <item x="37"/>
        <item x="38"/>
        <item x="22"/>
        <item x="2"/>
        <item x="17"/>
        <item x="11"/>
        <item x="13"/>
        <item x="23"/>
        <item x="29"/>
        <item x="10"/>
        <item x="33"/>
        <item x="9"/>
        <item x="15"/>
        <item x="25"/>
        <item x="21"/>
        <item x="24"/>
        <item x="18"/>
        <item x="12"/>
        <item x="27"/>
        <item x="19"/>
        <item x="0"/>
        <item x="32"/>
        <item x="14"/>
        <item x="26"/>
        <item x="34"/>
        <item x="3"/>
        <item x="5"/>
        <item x="36"/>
        <item x="1"/>
        <item x="7"/>
        <item x="16"/>
        <item x="35"/>
        <item x="31"/>
        <item x="28"/>
        <item x="6"/>
        <item x="20"/>
        <item x="4"/>
        <item x="30"/>
        <item x="3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Total Cost" fld="14" baseField="0" baseItem="0"/>
  </dataFields>
  <formats count="1">
    <format dxfId="7">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Sydney" TargetMode="External"/><Relationship Id="rId21" Type="http://schemas.openxmlformats.org/officeDocument/2006/relationships/hyperlink" Target="https://www.bing.com/th?id=OSK.6f397b35762e2852058e1cfc4607f893&amp;qlt=95" TargetMode="External"/><Relationship Id="rId42" Type="http://schemas.openxmlformats.org/officeDocument/2006/relationships/hyperlink" Target="https://www.bing.com/images/search?form=xlimg&amp;q=Canc%c3%ban" TargetMode="External"/><Relationship Id="rId47" Type="http://schemas.openxmlformats.org/officeDocument/2006/relationships/hyperlink" Target="https://www.bing.com/th?id=OSK.da9f1ba81b537e79571230c8ed6cac8a&amp;qlt=95" TargetMode="External"/><Relationship Id="rId63" Type="http://schemas.openxmlformats.org/officeDocument/2006/relationships/hyperlink" Target="https://www.bing.com/th?id=OSK.54ba4c8c5319b233d595ced38fbabcd1&amp;qlt=95" TargetMode="External"/><Relationship Id="rId68" Type="http://schemas.openxmlformats.org/officeDocument/2006/relationships/hyperlink" Target="https://www.bing.com/images/search?form=xlimg&amp;q=Greece" TargetMode="External"/><Relationship Id="rId84" Type="http://schemas.openxmlformats.org/officeDocument/2006/relationships/hyperlink" Target="https://www.bing.com/images/search?form=xlimg&amp;q=Jung%20District,%20Seoul" TargetMode="External"/><Relationship Id="rId89" Type="http://schemas.openxmlformats.org/officeDocument/2006/relationships/hyperlink" Target="https://www.bing.com/th?id=OSK.e148926631f181303464290dcf104fd2&amp;qlt=95" TargetMode="External"/><Relationship Id="rId16" Type="http://schemas.openxmlformats.org/officeDocument/2006/relationships/hyperlink" Target="https://www.bing.com/images/search?form=xlimg&amp;q=New%20York%20City" TargetMode="External"/><Relationship Id="rId11" Type="http://schemas.openxmlformats.org/officeDocument/2006/relationships/hyperlink" Target="https://www.bing.com/th?id=OSK.cb839844827960578aa489767da14e92&amp;qlt=95" TargetMode="External"/><Relationship Id="rId32" Type="http://schemas.openxmlformats.org/officeDocument/2006/relationships/hyperlink" Target="https://www.bing.com/images/search?form=xlimg&amp;q=Rio%20de%20Janeiro" TargetMode="External"/><Relationship Id="rId37" Type="http://schemas.openxmlformats.org/officeDocument/2006/relationships/hyperlink" Target="https://www.bing.com/th?id=OSK.15f9b0b50ebfafda555c2959c080af5a&amp;qlt=95" TargetMode="External"/><Relationship Id="rId53" Type="http://schemas.openxmlformats.org/officeDocument/2006/relationships/hyperlink" Target="https://www.bing.com/th?id=OSK.b9ea73442065212a5da63d59777617df&amp;qlt=95" TargetMode="External"/><Relationship Id="rId58" Type="http://schemas.openxmlformats.org/officeDocument/2006/relationships/hyperlink" Target="https://www.bing.com/images/search?form=xlimg&amp;q=Berlin" TargetMode="External"/><Relationship Id="rId74" Type="http://schemas.openxmlformats.org/officeDocument/2006/relationships/hyperlink" Target="https://www.bing.com/images/search?form=xlimg&amp;q=Cairo" TargetMode="External"/><Relationship Id="rId79" Type="http://schemas.openxmlformats.org/officeDocument/2006/relationships/hyperlink" Target="https://www.bing.com/th?id=OSK.f23ee9d5cb30dc055f59b35a998ee094&amp;qlt=95" TargetMode="External"/><Relationship Id="rId5" Type="http://schemas.openxmlformats.org/officeDocument/2006/relationships/hyperlink" Target="https://www.bing.com/th?id=OSK.dc4636ed492c37733c70e6c067ae9afb&amp;qlt=95" TargetMode="External"/><Relationship Id="rId90" Type="http://schemas.openxmlformats.org/officeDocument/2006/relationships/hyperlink" Target="https://www.bing.com/images/search?form=xlimg&amp;q=Santorini" TargetMode="External"/><Relationship Id="rId22" Type="http://schemas.openxmlformats.org/officeDocument/2006/relationships/hyperlink" Target="https://www.bing.com/images/search?form=xlimg&amp;q=Paris" TargetMode="External"/><Relationship Id="rId27" Type="http://schemas.openxmlformats.org/officeDocument/2006/relationships/hyperlink" Target="https://www.bing.com/th?id=OSK.bed9fc3690f3414a4850855fee332f1c&amp;qlt=95" TargetMode="External"/><Relationship Id="rId43" Type="http://schemas.openxmlformats.org/officeDocument/2006/relationships/hyperlink" Target="https://www.bing.com/th?id=OSK.cf17e786b97fde4860ff0b98a404701f&amp;qlt=95" TargetMode="External"/><Relationship Id="rId48" Type="http://schemas.openxmlformats.org/officeDocument/2006/relationships/hyperlink" Target="https://www.bing.com/images/search?form=xlimg&amp;q=Barcelona" TargetMode="External"/><Relationship Id="rId64" Type="http://schemas.openxmlformats.org/officeDocument/2006/relationships/hyperlink" Target="https://www.bing.com/images/search?form=xlimg&amp;q=Rome" TargetMode="External"/><Relationship Id="rId69" Type="http://schemas.openxmlformats.org/officeDocument/2006/relationships/hyperlink" Target="https://www.bing.com/th?id=OSK.79wEVG4D-Z3v6_Tt8tnlClCf5ZXF5l7fq42fpqiShQo&amp;qlt=95" TargetMode="External"/><Relationship Id="rId8" Type="http://schemas.openxmlformats.org/officeDocument/2006/relationships/hyperlink" Target="https://www.bing.com/images/search?form=xlimg&amp;q=Thailand" TargetMode="External"/><Relationship Id="rId51" Type="http://schemas.openxmlformats.org/officeDocument/2006/relationships/hyperlink" Target="https://www.bing.com/th?id=OSK.12f7533dca5f011065a431e87678062b&amp;qlt=95" TargetMode="External"/><Relationship Id="rId72" Type="http://schemas.openxmlformats.org/officeDocument/2006/relationships/hyperlink" Target="https://www.bing.com/images/search?form=xlimg&amp;q=Egypt" TargetMode="External"/><Relationship Id="rId80" Type="http://schemas.openxmlformats.org/officeDocument/2006/relationships/hyperlink" Target="https://www.bing.com/images/search?form=xlimg&amp;q=Vancouver" TargetMode="External"/><Relationship Id="rId85" Type="http://schemas.openxmlformats.org/officeDocument/2006/relationships/hyperlink" Target="https://www.bing.com/th?id=OSK.58ac448972c6ab144b54e831a714990d&amp;qlt=95" TargetMode="External"/><Relationship Id="rId93" Type="http://schemas.openxmlformats.org/officeDocument/2006/relationships/hyperlink" Target="https://www.bing.com/th?id=OSK.051f5f17c10070e0ec5f865115e870c1&amp;qlt=95" TargetMode="External"/><Relationship Id="rId3" Type="http://schemas.openxmlformats.org/officeDocument/2006/relationships/hyperlink" Target="https://www.bing.com/th?id=OSK.82d7640f570dd6409aeb195dcbc39faf&amp;qlt=95" TargetMode="External"/><Relationship Id="rId12" Type="http://schemas.openxmlformats.org/officeDocument/2006/relationships/hyperlink" Target="https://www.bing.com/images/search?form=xlimg&amp;q=Bali" TargetMode="External"/><Relationship Id="rId17" Type="http://schemas.openxmlformats.org/officeDocument/2006/relationships/hyperlink" Target="https://www.bing.com/th?id=OSK.a5e66df12e2c87d6b1c2825f3d9fd432&amp;qlt=95" TargetMode="External"/><Relationship Id="rId25" Type="http://schemas.openxmlformats.org/officeDocument/2006/relationships/hyperlink" Target="https://www.bing.com/th?id=OSK.acf52e657f7121979fdc9bcae43ce646&amp;qlt=95" TargetMode="External"/><Relationship Id="rId33" Type="http://schemas.openxmlformats.org/officeDocument/2006/relationships/hyperlink" Target="https://www.bing.com/th?id=OSK.380316b6ec7e3f5c2fadae3206181af4&amp;qlt=95" TargetMode="External"/><Relationship Id="rId38" Type="http://schemas.openxmlformats.org/officeDocument/2006/relationships/hyperlink" Target="https://www.bing.com/images/search?form=xlimg&amp;q=Amsterdam" TargetMode="External"/><Relationship Id="rId46" Type="http://schemas.openxmlformats.org/officeDocument/2006/relationships/hyperlink" Target="https://www.bing.com/images/search?form=xlimg&amp;q=Mexico%20City" TargetMode="External"/><Relationship Id="rId59" Type="http://schemas.openxmlformats.org/officeDocument/2006/relationships/hyperlink" Target="https://www.bing.com/th?id=OSK.2e5877357c83b6cbe7294f76d3aa2a47&amp;qlt=95" TargetMode="External"/><Relationship Id="rId67" Type="http://schemas.openxmlformats.org/officeDocument/2006/relationships/hyperlink" Target="https://www.bing.com/th?id=OSK.37868521ec6f61afb97b5ab07c93e834&amp;qlt=95" TargetMode="External"/><Relationship Id="rId20" Type="http://schemas.openxmlformats.org/officeDocument/2006/relationships/hyperlink" Target="https://www.bing.com/images/search?form=xlimg&amp;q=Japan" TargetMode="External"/><Relationship Id="rId41" Type="http://schemas.openxmlformats.org/officeDocument/2006/relationships/hyperlink" Target="https://www.bing.com/th?id=OSK.78d01f4688a76bb34b3d4cfb34c524cb&amp;qlt=95" TargetMode="External"/><Relationship Id="rId54" Type="http://schemas.openxmlformats.org/officeDocument/2006/relationships/hyperlink" Target="https://www.bing.com/images/search?form=xlimg&amp;q=Honolulu" TargetMode="External"/><Relationship Id="rId62" Type="http://schemas.openxmlformats.org/officeDocument/2006/relationships/hyperlink" Target="https://www.bing.com/images/search?form=xlimg&amp;q=Edinburgh" TargetMode="External"/><Relationship Id="rId70" Type="http://schemas.openxmlformats.org/officeDocument/2006/relationships/hyperlink" Target="https://www.bing.com/images/search?form=xlimg&amp;q=Athens" TargetMode="External"/><Relationship Id="rId75" Type="http://schemas.openxmlformats.org/officeDocument/2006/relationships/hyperlink" Target="https://www.bing.com/th?id=OSK.f2dbd079068622692d8b57832120921d&amp;qlt=95" TargetMode="External"/><Relationship Id="rId83" Type="http://schemas.openxmlformats.org/officeDocument/2006/relationships/hyperlink" Target="https://www.bing.com/th?id=OSK.cyHtbG6P2ZVcJCaN7WI2OJ1bgpKbPlx335FUa1Dl_04&amp;qlt=95" TargetMode="External"/><Relationship Id="rId88" Type="http://schemas.openxmlformats.org/officeDocument/2006/relationships/hyperlink" Target="https://www.bing.com/images/search?form=xlimg&amp;q=Cape%20Town" TargetMode="External"/><Relationship Id="rId91" Type="http://schemas.openxmlformats.org/officeDocument/2006/relationships/hyperlink" Target="https://www.bing.com/th?id=OSK.SXR45SXfVH53-m4NArJipCddFPSFzpgIew7Fr1OltiI&amp;qlt=95"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Phuket%20(city)" TargetMode="External"/><Relationship Id="rId15" Type="http://schemas.openxmlformats.org/officeDocument/2006/relationships/hyperlink" Target="https://www.bing.com/th?id=OSK.YtMhN6HhvG5MEe3503eBpt0x5dUEQecJSHfTztAgl0U&amp;qlt=95" TargetMode="External"/><Relationship Id="rId23" Type="http://schemas.openxmlformats.org/officeDocument/2006/relationships/hyperlink" Target="https://www.bing.com/th?id=OSK.IJoB2IAflCzjheZJfaz5mfzEWw5jRcoWEgDQz1yU2Yk&amp;qlt=95" TargetMode="External"/><Relationship Id="rId28" Type="http://schemas.openxmlformats.org/officeDocument/2006/relationships/hyperlink" Target="https://www.bing.com/images/search?form=xlimg&amp;q=Australia" TargetMode="External"/><Relationship Id="rId36" Type="http://schemas.openxmlformats.org/officeDocument/2006/relationships/hyperlink" Target="https://www.bing.com/images/search?form=xlimg&amp;q=Bras%c3%adlia" TargetMode="External"/><Relationship Id="rId49" Type="http://schemas.openxmlformats.org/officeDocument/2006/relationships/hyperlink" Target="https://www.bing.com/th?id=OSK.fbb71d5e592f7fda00cf81328e03b81f&amp;qlt=95" TargetMode="External"/><Relationship Id="rId57" Type="http://schemas.openxmlformats.org/officeDocument/2006/relationships/hyperlink" Target="https://www.bing.com/th?id=OSK.a1512a61cf778ac466208259f8dc24f5&amp;qlt=95" TargetMode="External"/><Relationship Id="rId10" Type="http://schemas.openxmlformats.org/officeDocument/2006/relationships/hyperlink" Target="https://www.bing.com/images/search?form=xlimg&amp;q=Bangkok" TargetMode="External"/><Relationship Id="rId31" Type="http://schemas.openxmlformats.org/officeDocument/2006/relationships/hyperlink" Target="https://www.bing.com/th?id=OSK.a6179a3898e43a469c0b866b28b3dfdf&amp;qlt=95" TargetMode="External"/><Relationship Id="rId44" Type="http://schemas.openxmlformats.org/officeDocument/2006/relationships/hyperlink" Target="https://www.bing.com/images/search?form=xlimg&amp;q=Mexico" TargetMode="External"/><Relationship Id="rId52" Type="http://schemas.openxmlformats.org/officeDocument/2006/relationships/hyperlink" Target="https://www.bing.com/images/search?form=xlimg&amp;q=Madrid" TargetMode="External"/><Relationship Id="rId60" Type="http://schemas.openxmlformats.org/officeDocument/2006/relationships/hyperlink" Target="https://www.bing.com/images/search?form=xlimg&amp;q=Marrakesh" TargetMode="External"/><Relationship Id="rId65" Type="http://schemas.openxmlformats.org/officeDocument/2006/relationships/hyperlink" Target="https://www.bing.com/th?id=OSK.YyStd3n6FeCyDWZVKn54i8IqezKRsFpq7XThd1PUiDk&amp;qlt=95" TargetMode="External"/><Relationship Id="rId73" Type="http://schemas.openxmlformats.org/officeDocument/2006/relationships/hyperlink" Target="https://www.bing.com/th?id=OSK.530fee800bc2b97684fd5b25023412c1&amp;qlt=95" TargetMode="External"/><Relationship Id="rId78" Type="http://schemas.openxmlformats.org/officeDocument/2006/relationships/hyperlink" Target="https://www.bing.com/images/search?form=xlimg&amp;q=Ottawa" TargetMode="External"/><Relationship Id="rId81" Type="http://schemas.openxmlformats.org/officeDocument/2006/relationships/hyperlink" Target="https://www.bing.com/th?id=OSK.PqVpdKr4iW62MkTkxfsH1jgYedNjwNX5iQ2nikQw4cE&amp;qlt=95" TargetMode="External"/><Relationship Id="rId86" Type="http://schemas.openxmlformats.org/officeDocument/2006/relationships/hyperlink" Target="https://www.bing.com/images/search?form=xlimg&amp;q=Los%20Angeles" TargetMode="External"/><Relationship Id="rId94" Type="http://schemas.openxmlformats.org/officeDocument/2006/relationships/hyperlink" Target="https://www.bing.com/images/search?form=xlimg&amp;q=Auckland" TargetMode="External"/><Relationship Id="rId4" Type="http://schemas.openxmlformats.org/officeDocument/2006/relationships/hyperlink" Target="https://www.bing.com/images/search?form=xlimg&amp;q=England" TargetMode="External"/><Relationship Id="rId9" Type="http://schemas.openxmlformats.org/officeDocument/2006/relationships/hyperlink" Target="https://www.bing.com/th?id=OSK.a1a42f3902075c9d42cc5b831273180b&amp;qlt=95" TargetMode="External"/><Relationship Id="rId13" Type="http://schemas.openxmlformats.org/officeDocument/2006/relationships/hyperlink" Target="https://www.bing.com/th?id=OSK.2b3d7fa26bf405b83708e6370669d9a2&amp;qlt=95" TargetMode="External"/><Relationship Id="rId18" Type="http://schemas.openxmlformats.org/officeDocument/2006/relationships/hyperlink" Target="https://www.bing.com/images/search?form=xlimg&amp;q=Tokyo" TargetMode="External"/><Relationship Id="rId39" Type="http://schemas.openxmlformats.org/officeDocument/2006/relationships/hyperlink" Target="https://www.bing.com/th?id=OSK.URtMT2SV_u8STYsULwJkCHiDUa-_YLvf5S7-YnZFIPo&amp;qlt=95" TargetMode="External"/><Relationship Id="rId34" Type="http://schemas.openxmlformats.org/officeDocument/2006/relationships/hyperlink" Target="https://www.bing.com/images/search?form=xlimg&amp;q=Brazil" TargetMode="External"/><Relationship Id="rId50" Type="http://schemas.openxmlformats.org/officeDocument/2006/relationships/hyperlink" Target="https://www.bing.com/images/search?form=xlimg&amp;q=Spain" TargetMode="External"/><Relationship Id="rId55" Type="http://schemas.openxmlformats.org/officeDocument/2006/relationships/hyperlink" Target="https://www.bing.com/th?id=OSK.d6d401cb2dc862bc6db20d6c382ac0dd&amp;qlt=95" TargetMode="External"/><Relationship Id="rId76" Type="http://schemas.openxmlformats.org/officeDocument/2006/relationships/hyperlink" Target="https://www.bing.com/images/search?form=xlimg&amp;q=Canada" TargetMode="External"/><Relationship Id="rId7" Type="http://schemas.openxmlformats.org/officeDocument/2006/relationships/hyperlink" Target="https://www.bing.com/th?id=OSK.GqOT1qhL9G6u_5AL8_ul98pC_nA8lVsG2EBdNFIzeRo&amp;qlt=95" TargetMode="External"/><Relationship Id="rId71" Type="http://schemas.openxmlformats.org/officeDocument/2006/relationships/hyperlink" Target="https://www.bing.com/th?id=OSK.cd87a340e69c67ee5da36d9903955518&amp;qlt=95" TargetMode="External"/><Relationship Id="rId92" Type="http://schemas.openxmlformats.org/officeDocument/2006/relationships/hyperlink" Target="https://www.bing.com/images/search?form=xlimg&amp;q=Phnom%20Penh" TargetMode="External"/><Relationship Id="rId2" Type="http://schemas.openxmlformats.org/officeDocument/2006/relationships/hyperlink" Target="https://www.bing.com/images/search?form=xlimg&amp;q=London" TargetMode="External"/><Relationship Id="rId29" Type="http://schemas.openxmlformats.org/officeDocument/2006/relationships/hyperlink" Target="https://www.bing.com/th?id=OSK.sHvfMK59q__wFs3-6Ixyrcxq1IY3oBFCLgJMppAl-aI&amp;qlt=95" TargetMode="External"/><Relationship Id="rId24" Type="http://schemas.openxmlformats.org/officeDocument/2006/relationships/hyperlink" Target="https://www.bing.com/images/search?form=xlimg&amp;q=France" TargetMode="External"/><Relationship Id="rId40" Type="http://schemas.openxmlformats.org/officeDocument/2006/relationships/hyperlink" Target="https://www.bing.com/images/search?form=xlimg&amp;q=Dubai" TargetMode="External"/><Relationship Id="rId45" Type="http://schemas.openxmlformats.org/officeDocument/2006/relationships/hyperlink" Target="https://www.bing.com/th?id=OSK.7RFmRXoqQSTIr0w9phfTttsce705jXAbNsQPY6jEJ-0&amp;qlt=95" TargetMode="External"/><Relationship Id="rId66" Type="http://schemas.openxmlformats.org/officeDocument/2006/relationships/hyperlink" Target="https://www.bing.com/images/search?form=xlimg&amp;q=Italy" TargetMode="External"/><Relationship Id="rId87" Type="http://schemas.openxmlformats.org/officeDocument/2006/relationships/hyperlink" Target="https://www.bing.com/th?id=OSK.985671baa01c480fa30591044e970b33&amp;qlt=95" TargetMode="External"/><Relationship Id="rId61" Type="http://schemas.openxmlformats.org/officeDocument/2006/relationships/hyperlink" Target="https://www.bing.com/th?id=OSK.5671ccf11d64c7e243418331bb0ab07b&amp;qlt=95" TargetMode="External"/><Relationship Id="rId82" Type="http://schemas.openxmlformats.org/officeDocument/2006/relationships/hyperlink" Target="https://www.bing.com/images/search?form=xlimg&amp;q=Seoul" TargetMode="External"/><Relationship Id="rId19" Type="http://schemas.openxmlformats.org/officeDocument/2006/relationships/hyperlink" Target="https://www.bing.com/th?id=OSK.mTs9AdlNDLziaMN3BIhJpWCGZaOOUwqIR2jN3FJEeTw&amp;qlt=95" TargetMode="External"/><Relationship Id="rId14" Type="http://schemas.openxmlformats.org/officeDocument/2006/relationships/hyperlink" Target="https://www.bing.com/images/search?form=xlimg&amp;q=Denpasar" TargetMode="External"/><Relationship Id="rId30" Type="http://schemas.openxmlformats.org/officeDocument/2006/relationships/hyperlink" Target="https://www.bing.com/images/search?form=xlimg&amp;q=Canberra" TargetMode="External"/><Relationship Id="rId35" Type="http://schemas.openxmlformats.org/officeDocument/2006/relationships/hyperlink" Target="https://www.bing.com/th?id=OSK.dc9705a8db8528faac35de15f4d07b8b&amp;qlt=95" TargetMode="External"/><Relationship Id="rId56" Type="http://schemas.openxmlformats.org/officeDocument/2006/relationships/hyperlink" Target="https://www.bing.com/images/search?form=xlimg&amp;q=Hawaii" TargetMode="External"/><Relationship Id="rId77" Type="http://schemas.openxmlformats.org/officeDocument/2006/relationships/hyperlink" Target="https://www.bing.com/th?id=OSK.6b078b3c654012824008e7debb92bf03&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rd>
    <address r:id="rId91"/>
    <moreImagesAddress r:id="rId92"/>
  </webImageSrd>
  <webImageSrd>
    <address r:id="rId93"/>
    <moreImagesAddress r:id="rId94"/>
  </webImageSrd>
</webImagesSrd>
</file>

<file path=xl/richData/rdarray.xml><?xml version="1.0" encoding="utf-8"?>
<arrayData xmlns="http://schemas.microsoft.com/office/spreadsheetml/2017/richdata2" count="98">
  <a r="1">
    <v t="r">6</v>
  </a>
  <a r="1">
    <v t="s">Greenwich Mean Time</v>
  </a>
  <a r="1">
    <v t="r">18</v>
  </a>
  <a r="1">
    <v t="s">English language</v>
  </a>
  <a r="2">
    <v t="s">Greenwich Mean Time</v>
    <v t="s">Western European Time</v>
  </a>
  <a r="1">
    <v t="r">32</v>
  </a>
  <a r="1">
    <v t="s">UTC+07:00</v>
  </a>
  <a r="2">
    <v t="r">58</v>
    <v t="r">59</v>
  </a>
  <a r="1">
    <v t="s">Thai language</v>
  </a>
  <a r="76">
    <v t="r">78</v>
    <v t="r">79</v>
    <v t="r">80</v>
    <v t="r">81</v>
    <v t="r">82</v>
    <v t="r">83</v>
    <v t="r">84</v>
    <v t="r">85</v>
    <v t="r">86</v>
    <v t="r">87</v>
    <v t="r">88</v>
    <v t="r">89</v>
    <v t="r">90</v>
    <v t="r">91</v>
    <v t="r">92</v>
    <v t="r">93</v>
    <v t="r">94</v>
    <v t="r">95</v>
    <v t="r">96</v>
    <v t="r">97</v>
    <v t="r">98</v>
    <v t="r">99</v>
    <v t="r">100</v>
    <v t="r">101</v>
    <v t="r">102</v>
    <v t="r">103</v>
    <v t="r">104</v>
    <v t="r">105</v>
    <v t="r">106</v>
    <v t="r">107</v>
    <v t="r">108</v>
    <v t="r">109</v>
    <v t="r">110</v>
    <v t="r">111</v>
    <v t="r">112</v>
    <v t="r">113</v>
    <v t="r">44</v>
    <v t="r">114</v>
    <v t="r">115</v>
    <v t="r">116</v>
    <v t="r">117</v>
    <v t="r">118</v>
    <v t="r">119</v>
    <v t="r">120</v>
    <v t="r">121</v>
    <v t="r">122</v>
    <v t="r">123</v>
    <v t="r">124</v>
    <v t="r">125</v>
    <v t="r">126</v>
    <v t="r">127</v>
    <v t="r">128</v>
    <v t="r">129</v>
    <v t="r">130</v>
    <v t="r">131</v>
    <v t="r">132</v>
    <v t="r">133</v>
    <v t="r">134</v>
    <v t="r">135</v>
    <v t="r">136</v>
    <v t="r">137</v>
    <v t="r">138</v>
    <v t="r">139</v>
    <v t="r">140</v>
    <v t="r">141</v>
    <v t="r">142</v>
    <v t="r">143</v>
    <v t="r">144</v>
    <v t="r">145</v>
    <v t="r">146</v>
    <v t="r">147</v>
    <v t="r">148</v>
    <v t="r">149</v>
    <v t="r">150</v>
    <v t="r">151</v>
    <v t="r">152</v>
  </a>
  <a r="1">
    <v t="s">Asia/Bangkok</v>
  </a>
  <a r="1">
    <v t="r">162</v>
  </a>
  <a r="1">
    <v t="r">173</v>
  </a>
  <a r="1">
    <v t="s">Indonesian language</v>
  </a>
  <a r="1">
    <v t="r">183</v>
  </a>
  <a r="1">
    <v t="r">195</v>
  </a>
  <a r="1">
    <v t="s">Eastern Time Zone</v>
  </a>
  <a r="1">
    <v t="r">208</v>
  </a>
  <a r="1">
    <v t="s">Japan Standard Time</v>
  </a>
  <a r="2">
    <v t="r">231</v>
    <v t="r">232</v>
  </a>
  <a r="1">
    <v t="s">Japanese language</v>
  </a>
  <a r="46">
    <v t="r">251</v>
    <v t="r">252</v>
    <v t="r">253</v>
    <v t="r">254</v>
    <v t="r">255</v>
    <v t="r">256</v>
    <v t="r">257</v>
    <v t="r">258</v>
    <v t="r">259</v>
    <v t="r">260</v>
    <v t="r">261</v>
    <v t="r">262</v>
    <v t="r">202</v>
    <v t="r">263</v>
    <v t="r">264</v>
    <v t="r">265</v>
    <v t="r">266</v>
    <v t="r">267</v>
    <v t="r">268</v>
    <v t="r">269</v>
    <v t="r">270</v>
    <v t="r">271</v>
    <v t="r">272</v>
    <v t="r">273</v>
    <v t="r">274</v>
    <v t="r">275</v>
    <v t="r">276</v>
    <v t="r">277</v>
    <v t="r">278</v>
    <v t="r">279</v>
    <v t="r">280</v>
    <v t="r">281</v>
    <v t="r">282</v>
    <v t="r">283</v>
    <v t="r">284</v>
    <v t="r">285</v>
    <v t="r">286</v>
    <v t="r">287</v>
    <v t="r">288</v>
    <v t="r">289</v>
    <v t="r">290</v>
    <v t="r">291</v>
    <v t="r">292</v>
    <v t="r">293</v>
    <v t="r">294</v>
    <v t="r">295</v>
  </a>
  <a r="1">
    <v t="r">309</v>
  </a>
  <a r="2">
    <v t="s">UTC+02:00</v>
    <v t="s">UTC+01:00</v>
  </a>
  <a r="2">
    <v t="r">334</v>
    <v t="r">335</v>
  </a>
  <a r="1">
    <v t="s">French language</v>
  </a>
  <a r="25">
    <v t="r">354</v>
    <v t="r">355</v>
    <v t="r">356</v>
    <v t="r">304</v>
    <v t="r">357</v>
    <v t="r">358</v>
    <v t="r">359</v>
    <v t="r">360</v>
    <v t="r">361</v>
    <v t="r">362</v>
    <v t="r">363</v>
    <v t="r">364</v>
    <v t="r">365</v>
    <v t="r">366</v>
    <v t="r">367</v>
    <v t="r">368</v>
    <v t="r">369</v>
    <v t="r">370</v>
    <v t="r">371</v>
    <v t="r">372</v>
    <v t="r">373</v>
    <v t="r">374</v>
    <v t="r">375</v>
    <v t="r">376</v>
    <v t="r">377</v>
  </a>
  <a r="1">
    <v t="s">Central European Time</v>
  </a>
  <a r="2">
    <v t="r">18</v>
    <v t="r">414</v>
  </a>
  <a r="1">
    <v t="s">Australian English</v>
  </a>
  <a r="15">
    <v t="r">433</v>
    <v t="r">386</v>
    <v t="r">434</v>
    <v t="r">435</v>
    <v t="r">436</v>
    <v t="r">437</v>
    <v t="r">438</v>
    <v t="r">439</v>
    <v t="r">440</v>
    <v t="r">441</v>
    <v t="r">442</v>
    <v t="r">443</v>
    <v t="r">444</v>
    <v t="r">445</v>
    <v t="r">446</v>
  </a>
  <a r="12">
    <v t="s">Norfolk Time Zone</v>
    <v t="s">Lord Howe Time Zone</v>
    <v t="s">Australian Eastern Time Zone</v>
    <v t="s">Australian Central Time Zone</v>
    <v t="s">Central Western Time Zone</v>
    <v t="s">Australian Western Time Zone</v>
    <v t="s">Casey Time Zone</v>
    <v t="s">Christmas Island Time Zone</v>
    <v t="s">Davis Time Zone</v>
    <v t="s">Cocos Islands Time Zone</v>
    <v t="s">Heard and McDonald Islands Time Zone</v>
    <v t="s">Mawson Station Time Zone</v>
  </a>
  <a r="1">
    <v t="s">UTC+10:00</v>
  </a>
  <a r="1">
    <v t="r">468</v>
  </a>
  <a r="1">
    <v t="s">UTC−03:00</v>
  </a>
  <a r="2">
    <v t="r">495</v>
    <v t="r">496</v>
  </a>
  <a r="1">
    <v t="s">Portuguese language</v>
  </a>
  <a r="27">
    <v t="r">515</v>
    <v t="r">516</v>
    <v t="r">517</v>
    <v t="r">518</v>
    <v t="r">519</v>
    <v t="r">520</v>
    <v t="r">521</v>
    <v t="r">522</v>
    <v t="r">523</v>
    <v t="r">524</v>
    <v t="r">525</v>
    <v t="r">526</v>
    <v t="r">527</v>
    <v t="r">528</v>
    <v t="r">529</v>
    <v t="r">530</v>
    <v t="r">531</v>
    <v t="r">532</v>
    <v t="r">533</v>
    <v t="r">534</v>
    <v t="r">535</v>
    <v t="r">463</v>
    <v t="r">536</v>
    <v t="r">537</v>
    <v t="r">538</v>
    <v t="r">539</v>
    <v t="r">540</v>
  </a>
  <a r="3">
    <v t="s">Fernando de Noronha Time Zone</v>
    <v t="s">Brasília Time Zone</v>
    <v t="s">Amazon Time Zone</v>
  </a>
  <a r="1">
    <v t="s">Ibaneis Rocha (Governor)</v>
  </a>
  <a r="1">
    <v t="r">563</v>
  </a>
  <a r="3">
    <v t="s">Central European Time</v>
    <v t="s">UTC+02:00</v>
    <v t="s">UTC+01:00</v>
  </a>
  <a r="1">
    <v t="s">Arabic</v>
  </a>
  <a r="1">
    <v t="s">UTC+04:00</v>
  </a>
  <a r="1">
    <v t="r">585</v>
  </a>
  <a r="1">
    <v t="s">UTC−05:00</v>
  </a>
  <a r="2">
    <v t="r">611</v>
    <v t="r">612</v>
  </a>
  <a r="1">
    <v t="s">Mexican Spanish</v>
  </a>
  <a r="32">
    <v t="r">597</v>
    <v t="r">631</v>
    <v t="r">632</v>
    <v t="r">633</v>
    <v t="r">634</v>
    <v t="r">635</v>
    <v t="r">636</v>
    <v t="r">637</v>
    <v t="r">638</v>
    <v t="r">639</v>
    <v t="r">640</v>
    <v t="r">641</v>
    <v t="r">642</v>
    <v t="r">643</v>
    <v t="r">644</v>
    <v t="r">645</v>
    <v t="r">646</v>
    <v t="r">647</v>
    <v t="r">648</v>
    <v t="r">649</v>
    <v t="r">650</v>
    <v t="r">651</v>
    <v t="r">652</v>
    <v t="r">653</v>
    <v t="r">654</v>
    <v t="r">655</v>
    <v t="r">656</v>
    <v t="r">657</v>
    <v t="r">658</v>
    <v t="r">659</v>
    <v t="r">660</v>
    <v t="r">661</v>
  </a>
  <a r="4">
    <v t="s">Central Time Zone</v>
    <v t="s">Mountain Time Zone</v>
    <v t="s">Pacific Time Zone</v>
    <v t="s">Eastern Time Zone</v>
  </a>
  <a r="1">
    <v t="r">672</v>
  </a>
  <a r="1">
    <v t="s">Central Time Zone</v>
  </a>
  <a r="1">
    <v t="r">684</v>
  </a>
  <a r="2">
    <v t="r">709</v>
    <v t="r">710</v>
  </a>
  <a r="1">
    <v t="s">Spanish language</v>
  </a>
  <a r="18">
    <v t="r">728</v>
    <v t="r">729</v>
    <v t="r">730</v>
    <v t="r">731</v>
    <v t="r">732</v>
    <v t="r">733</v>
    <v t="r">734</v>
    <v t="r">735</v>
    <v t="r">736</v>
    <v t="r">737</v>
    <v t="r">738</v>
    <v t="r">739</v>
    <v t="r">740</v>
    <v t="r">741</v>
    <v t="r">742</v>
    <v t="r">743</v>
    <v t="r">744</v>
    <v t="r">745</v>
  </a>
  <a r="1">
    <v t="r">755</v>
  </a>
  <a r="1">
    <v t="r">767</v>
  </a>
  <a r="1">
    <v t="s">Hawaii–Aleutian Time Zone</v>
  </a>
  <a r="4">
    <v t="r">780</v>
    <v t="r">781</v>
    <v t="r">782</v>
    <v t="r">783</v>
  </a>
  <a r="2">
    <v t="s">English language</v>
    <v t="s">Hawaiian language</v>
  </a>
  <a r="1">
    <v t="r">813</v>
  </a>
  <a r="1">
    <v t="s">German language</v>
  </a>
  <a r="1">
    <v t="r">826</v>
  </a>
  <a r="1">
    <v t="s">Western European Time</v>
  </a>
  <a r="2">
    <v t="s">UTC+00:00</v>
    <v t="s">UTC+01:00</v>
  </a>
  <a r="1">
    <v t="r">851</v>
  </a>
  <a r="2">
    <v t="r">875</v>
    <v t="r">876</v>
  </a>
  <a r="1">
    <v t="s">Italian language</v>
  </a>
  <a r="20">
    <v t="r">889</v>
    <v t="r">890</v>
    <v t="r">891</v>
    <v t="r">892</v>
    <v t="r">893</v>
    <v t="r">894</v>
    <v t="r">845</v>
    <v t="r">895</v>
    <v t="r">896</v>
    <v t="r">897</v>
    <v t="r">898</v>
    <v t="r">899</v>
    <v t="r">900</v>
    <v t="r">901</v>
    <v t="r">902</v>
    <v t="r">903</v>
    <v t="r">904</v>
    <v t="r">905</v>
    <v t="r">906</v>
    <v t="r">907</v>
  </a>
  <a r="2">
    <v t="r">934</v>
    <v t="r">935</v>
  </a>
  <a r="1">
    <v t="s">Greek language</v>
  </a>
  <a r="12">
    <v t="r">952</v>
    <v t="r">953</v>
    <v t="r">954</v>
    <v t="r">955</v>
    <v t="r">956</v>
    <v t="r">957</v>
    <v t="r">958</v>
    <v t="r">959</v>
    <v t="r">960</v>
    <v t="r">961</v>
    <v t="r">962</v>
    <v t="r">963</v>
  </a>
  <a r="4">
    <v t="s">UTC+03:00</v>
    <v t="s">Eastern European Summer Time</v>
    <v t="s">UTC+02:00</v>
    <v t="s">Eastern European Time</v>
  </a>
  <a r="1">
    <v t="r">974</v>
  </a>
  <a r="1">
    <v t="s">Eastern European Time</v>
  </a>
  <a r="2">
    <v t="r">1001</v>
    <v t="r">1002</v>
  </a>
  <a r="1">
    <v t="s">Modern Standard Arabic</v>
  </a>
  <a r="28">
    <v t="r">1017</v>
    <v t="r">1018</v>
    <v t="r">1019</v>
    <v t="r">1020</v>
    <v t="r">1021</v>
    <v t="r">1022</v>
    <v t="r">1023</v>
    <v t="r">1024</v>
    <v t="r">1025</v>
    <v t="r">1026</v>
    <v t="r">1027</v>
    <v t="r">1028</v>
    <v t="r">1029</v>
    <v t="r">1030</v>
    <v t="r">1031</v>
    <v t="r">1032</v>
    <v t="r">1033</v>
    <v t="r">1034</v>
    <v t="r">1035</v>
    <v t="r">1036</v>
    <v t="r">1037</v>
    <v t="r">1038</v>
    <v t="r">1039</v>
    <v t="r">1040</v>
    <v t="r">1041</v>
    <v t="r">1042</v>
    <v t="r">1043</v>
    <v t="r">1044</v>
  </a>
  <a r="2">
    <v t="s">UTC+03:00</v>
    <v t="s">UTC+02:00</v>
  </a>
  <a r="1">
    <v t="r">1055</v>
  </a>
  <a r="2">
    <v t="r">18</v>
    <v t="r">1082</v>
  </a>
  <a r="2">
    <v t="s">Canadian French</v>
    <v t="s">Canadian English</v>
  </a>
  <a r="13">
    <v t="r">1100</v>
    <v t="r">1101</v>
    <v t="r">1102</v>
    <v t="r">1103</v>
    <v t="r">1104</v>
    <v t="r">1105</v>
    <v t="r">1106</v>
    <v t="r">1107</v>
    <v t="r">1108</v>
    <v t="r">1109</v>
    <v t="r">1110</v>
    <v t="r">1111</v>
    <v t="r">1112</v>
  </a>
  <a r="6">
    <v t="s">Newfoundland Time Zone</v>
    <v t="s">Atlantic Time Zone</v>
    <v t="s">Eastern Time Zone</v>
    <v t="s">Central Time Zone</v>
    <v t="s">Mountain Time Zone</v>
    <v t="s">Pacific Time Zone</v>
  </a>
  <a r="1">
    <v t="r">1123</v>
  </a>
  <a r="1">
    <v t="r">1134</v>
  </a>
  <a r="1">
    <v t="r">1147</v>
  </a>
  <a r="1">
    <v t="s">Korean language</v>
  </a>
  <a r="1">
    <v t="s">UTC+09:00</v>
  </a>
  <a r="1">
    <v t="s">Korea Standard Time</v>
  </a>
  <a r="1">
    <v t="r">1168</v>
  </a>
  <a r="1">
    <v t="s">Pacific Time Zone</v>
  </a>
  <a r="2">
    <v t="r">1182</v>
    <v t="r">1183</v>
  </a>
  <a r="1">
    <v t="r">1193</v>
  </a>
  <a r="1">
    <v t="r">1203</v>
  </a>
  <a r="2">
    <v t="r">1214</v>
    <v t="r">1215</v>
  </a>
  <a r="1">
    <v t="s">Daylight saving time</v>
  </a>
</arrayData>
</file>

<file path=xl/richData/rdrichvalue.xml><?xml version="1.0" encoding="utf-8"?>
<rvData xmlns="http://schemas.microsoft.com/office/spreadsheetml/2017/richdata" count="1222">
  <rv s="0">
    <v>536870912</v>
    <v>London</v>
    <v>8e0ba7b6-4225-fa8a-6369-1b5294e602a5</v>
    <v>en-US</v>
    <v>Map</v>
  </rv>
  <rv s="0">
    <v>536870912</v>
    <v>England</v>
    <v>280d39e8-7217-6863-6980-a8c20c211c89</v>
    <v>en-US</v>
    <v>Map</v>
  </rv>
  <rv s="0">
    <v>536870912</v>
    <v>Greater London</v>
    <v>2ba8a441-178c-f2c0-26cb-a4b260b8c806</v>
    <v>en-US</v>
    <v>Map</v>
  </rv>
  <rv s="1">
    <fb>1572</fb>
    <v>8</v>
  </rv>
  <rv s="2">
    <v>0</v>
    <v>6</v>
    <v>0</v>
    <v>7</v>
    <v>0</v>
    <v>Image of London</v>
  </rv>
  <rv s="1">
    <fb>51.507222222221998</fb>
    <v>9</v>
  </rv>
  <rv s="0">
    <v>805306368</v>
    <v>Sadiq Khan (Mayor)</v>
    <v>d7862dc2-4c03-1dc8-3412-7fe03041fdcb</v>
    <v>en-US</v>
    <v>Generic</v>
  </rv>
  <rv s="3">
    <v>0</v>
  </rv>
  <rv s="4">
    <v>https://www.bing.com/search?q=london+england&amp;form=skydnc</v>
    <v>Learn more on Bing</v>
  </rv>
  <rv s="1">
    <fb>-0.1275</fb>
    <v>9</v>
  </rv>
  <rv s="1">
    <fb>8866180</fb>
    <v>8</v>
  </rv>
  <rv s="3">
    <v>1</v>
  </rv>
  <rv s="5">
    <v>#VALUE!</v>
    <v>en-US</v>
    <v>8e0ba7b6-4225-fa8a-6369-1b5294e602a5</v>
    <v>536870912</v>
    <v>1</v>
    <v>1</v>
    <v>2</v>
    <v>London</v>
    <v>4</v>
    <v>5</v>
    <v>Map</v>
    <v>6</v>
    <v>7</v>
    <v>1</v>
    <v>2</v>
    <v>3</v>
    <v>1</v>
    <v>London is the capital and largest city of both England and the United Kingdom, with a population of 8,866,180 in 2022. Its wider metropolitan area is the largest in Western Europe, with a population of 14.9 million. London stands on the River ...</v>
    <v>4</v>
    <v>5</v>
    <v>7</v>
    <v>8</v>
    <v>9</v>
    <v>London</v>
    <v>10</v>
    <v>11</v>
    <v>London</v>
    <v>mdp/vdpid/5471798185326280713</v>
  </rv>
  <rv s="1">
    <fb>130278</fb>
    <v>8</v>
  </rv>
  <rv s="0">
    <v>536870912</v>
    <v>United Kingdom</v>
    <v>b1a5155a-6bb2-4646-8f7c-3e6b3a53c831</v>
    <v>en-US</v>
    <v>Map</v>
  </rv>
  <rv s="1">
    <fb>22063368</fb>
    <v>8</v>
  </rv>
  <rv s="1">
    <fb>22976066</fb>
    <v>8</v>
  </rv>
  <rv s="2">
    <v>1</v>
    <v>6</v>
    <v>10</v>
    <v>7</v>
    <v>0</v>
    <v>Image of England</v>
  </rv>
  <rv s="0">
    <v>805306368</v>
    <v>Charles III (Monarch)</v>
    <v>afc6f6a9-5b55-9178-3e6f-2c8b6d16ee9c</v>
    <v>en-US</v>
    <v>Generic</v>
  </rv>
  <rv s="3">
    <v>2</v>
  </rv>
  <rv s="4">
    <v>https://www.bing.com/search?q=england&amp;form=skydnc</v>
    <v>Learn more on Bing</v>
  </rv>
  <rv s="3">
    <v>3</v>
  </rv>
  <rv s="1">
    <fb>2.4</fb>
    <v>16</v>
  </rv>
  <rv s="1">
    <fb>57106398</fb>
    <v>8</v>
  </rv>
  <rv s="3">
    <v>4</v>
  </rv>
  <rv s="6">
    <v>#VALUE!</v>
    <v>en-US</v>
    <v>280d39e8-7217-6863-6980-a8c20c211c89</v>
    <v>536870912</v>
    <v>1</v>
    <v>13</v>
    <v>14</v>
    <v>England</v>
    <v>4</v>
    <v>5</v>
    <v>Map</v>
    <v>6</v>
    <v>15</v>
    <v>GB-ENG</v>
    <v>13</v>
    <v>0</v>
    <v>14</v>
    <v>England is a country that is part of the United Kingdom. It is located on the island of Great Britain, of which it covers about 62%, and more than 100 smaller adjacent islands. It shares a land border with Scotland to the north and another land ...</v>
    <v>15</v>
    <v>16</v>
    <v>17</v>
    <v>0</v>
    <v>19</v>
    <v>20</v>
    <v>England</v>
    <v>21</v>
    <v>22</v>
    <v>23</v>
    <v>24</v>
    <v>England</v>
    <v>mdp/vdpid/10270</v>
  </rv>
  <rv s="0">
    <v>536870912</v>
    <v>Phuket</v>
    <v>06bf8724-0f58-6e19-e782-6af5481f80e5</v>
    <v>en-US</v>
    <v>Map</v>
  </rv>
  <rv s="0">
    <v>536870912</v>
    <v>Mueang Phuket district</v>
    <v>51e40da9-2506-67b9-ca60-12e082158e52</v>
    <v>en-US</v>
    <v>Map</v>
  </rv>
  <rv s="1">
    <fb>12</fb>
    <v>8</v>
  </rv>
  <rv s="0">
    <v>536870912</v>
    <v>Thailand</v>
    <v>588bd4b9-e440-b7eb-2cab-2a54c0458548</v>
    <v>en-US</v>
    <v>Map</v>
  </rv>
  <rv s="2">
    <v>2</v>
    <v>6</v>
    <v>17</v>
    <v>7</v>
    <v>0</v>
    <v>Image of Phuket</v>
  </rv>
  <rv s="1">
    <fb>7.8880555555556002</fb>
    <v>9</v>
  </rv>
  <rv s="0">
    <v>805306368</v>
    <v>Saroj Ankanapilas (Mayor)</v>
    <v>1be7814d-9a4e-d636-48ed-9627aa802cd3</v>
    <v>en-US</v>
    <v>Generic</v>
  </rv>
  <rv s="3">
    <v>5</v>
  </rv>
  <rv s="4">
    <v>https://www.bing.com/search?q=phuket+city&amp;form=skydnc</v>
    <v>Learn more on Bing</v>
  </rv>
  <rv s="1">
    <fb>98.397499999999994</fb>
    <v>9</v>
  </rv>
  <rv s="1">
    <fb>79308</fb>
    <v>8</v>
  </rv>
  <rv s="3">
    <v>6</v>
  </rv>
  <rv s="7">
    <v>#VALUE!</v>
    <v>en-US</v>
    <v>06bf8724-0f58-6e19-e782-6af5481f80e5</v>
    <v>536870912</v>
    <v>1</v>
    <v>18</v>
    <v>19</v>
    <v>Phuket</v>
    <v>4</v>
    <v>5</v>
    <v>Map</v>
    <v>6</v>
    <v>20</v>
    <v>27</v>
    <v>28</v>
    <v>29</v>
    <v>Phuket is a city in the southeast of Phuket Island, Thailand, and the capital of Phuket province. As of 2020 the city had a population of 79,308. It covers the subdistricts Talat Yai and Talat Nuea of Mueang Phuket district.</v>
    <v>30</v>
    <v>31</v>
    <v>33</v>
    <v>34</v>
    <v>35</v>
    <v>Phuket</v>
    <v>36</v>
    <v>37</v>
    <v>Phuket</v>
    <v>mdp/vdpid/7875879533415497734</v>
  </rv>
  <rv s="1">
    <fb>0.43277417839456594</fb>
    <v>40</v>
  </rv>
  <rv s="1">
    <fb>513119.5</fb>
    <v>8</v>
  </rv>
  <rv s="1">
    <fb>455000</fb>
    <v>8</v>
  </rv>
  <rv s="1">
    <fb>10.343999999999999</fb>
    <v>16</v>
  </rv>
  <rv s="1">
    <fb>66</fb>
    <v>41</v>
  </rv>
  <rv s="0">
    <v>536870912</v>
    <v>Bangkok</v>
    <v>651e796f-a780-c032-4e9c-23e5f5fe5854</v>
    <v>en-US</v>
    <v>Map</v>
  </rv>
  <rv s="1">
    <fb>283763.46100000001</fb>
    <v>8</v>
  </rv>
  <rv s="1">
    <fb>113.265649996346</fb>
    <v>42</v>
  </rv>
  <rv s="1">
    <fb>7.0672860131430508E-3</fb>
    <v>40</v>
  </rv>
  <rv s="1">
    <fb>2538.79638035364</fb>
    <v>8</v>
  </rv>
  <rv s="1">
    <fb>1.5249999999999999</fb>
    <v>16</v>
  </rv>
  <rv s="1">
    <fb>0.32157607312728798</fb>
    <v>40</v>
  </rv>
  <rv s="1">
    <fb>79.839022650550007</fb>
    <v>43</v>
  </rv>
  <rv s="1">
    <fb>0.71</fb>
    <v>44</v>
  </rv>
  <rv s="1">
    <fb>543649976165.63</fb>
    <v>45</v>
  </rv>
  <rv s="1">
    <fb>0.99774360000000006</fb>
    <v>40</v>
  </rv>
  <rv s="1">
    <fb>0.49286810000000003</fb>
    <v>40</v>
  </rv>
  <rv s="2">
    <v>3</v>
    <v>6</v>
    <v>23</v>
    <v>7</v>
    <v>0</v>
    <v>Image of Thailand</v>
  </rv>
  <rv s="1">
    <fb>7.8</fb>
    <v>43</v>
  </rv>
  <rv s="0">
    <v>805306368</v>
    <v>Vajiralongkorn (Monarch)</v>
    <v>838f8fba-7ce1-3cb6-caf3-eadcdd6d67c4</v>
    <v>en-US</v>
    <v>Generic</v>
  </rv>
  <rv s="0">
    <v>805306368</v>
    <v>Paetongtarn Shinawatra (Prime minister)</v>
    <v>7c878d55-b66f-2d85-2ab2-d860b0bd0e36</v>
    <v>en-US</v>
    <v>Generic</v>
  </rv>
  <rv s="3">
    <v>7</v>
  </rv>
  <rv s="4">
    <v>https://www.bing.com/search?q=thailand&amp;form=skydnc</v>
    <v>Learn more on Bing</v>
  </rv>
  <rv s="1">
    <fb>76.930999999999997</fb>
    <v>43</v>
  </rv>
  <rv s="1">
    <fb>569228320000</fb>
    <v>45</v>
  </rv>
  <rv s="1">
    <fb>37</fb>
    <v>43</v>
  </rv>
  <rv s="1">
    <fb>1.06</fb>
    <v>44</v>
  </rv>
  <rv s="3">
    <v>8</v>
  </rv>
  <rv s="1">
    <fb>0.11765354909999999</fb>
    <v>40</v>
  </rv>
  <rv s="1">
    <fb>0.80500000000000005</fb>
    <v>16</v>
  </rv>
  <rv s="1">
    <fb>71697030</fb>
    <v>8</v>
  </rv>
  <rv s="1">
    <fb>0.222</fb>
    <v>40</v>
  </rv>
  <rv s="1">
    <fb>0.28100000000000003</fb>
    <v>40</v>
  </rv>
  <rv s="1">
    <fb>0.44</fb>
    <v>40</v>
  </rv>
  <rv s="1">
    <fb>0.03</fb>
    <v>40</v>
  </rv>
  <rv s="1">
    <fb>7.2000000000000008E-2</fb>
    <v>40</v>
  </rv>
  <rv s="1">
    <fb>0.111</fb>
    <v>40</v>
  </rv>
  <rv s="1">
    <fb>0.155</fb>
    <v>40</v>
  </rv>
  <rv s="1">
    <fb>0.67325996398925791</fb>
    <v>40</v>
  </rv>
  <rv s="0">
    <v>536870912</v>
    <v>Chiang Mai province</v>
    <v>ec21839a-048d-d7f2-68f9-73688da0c93d</v>
    <v>en-US</v>
    <v>Map</v>
  </rv>
  <rv s="0">
    <v>536870912</v>
    <v>Chiang Rai province</v>
    <v>773cf086-b01f-6641-3201-e1cb9355ccf9</v>
    <v>en-US</v>
    <v>Map</v>
  </rv>
  <rv s="0">
    <v>536870912</v>
    <v>Lampang province</v>
    <v>ea3b275a-ae62-b46c-be21-4f66c21cf992</v>
    <v>en-US</v>
    <v>Map</v>
  </rv>
  <rv s="0">
    <v>536870912</v>
    <v>Lamphun province</v>
    <v>d37b9cb6-896b-23c8-17ae-5cd391241ada</v>
    <v>en-US</v>
    <v>Map</v>
  </rv>
  <rv s="0">
    <v>536870912</v>
    <v>Mae Hong Son province</v>
    <v>220094e8-a250-8e9a-0ae9-19272c634f8b</v>
    <v>en-US</v>
    <v>Map</v>
  </rv>
  <rv s="0">
    <v>536870912</v>
    <v>Nan province</v>
    <v>c2231910-8e0c-3f11-ee64-9812ca91010f</v>
    <v>en-US</v>
    <v>Map</v>
  </rv>
  <rv s="0">
    <v>536870912</v>
    <v>Phayao province</v>
    <v>58fbb830-cd58-6852-5600-332a50023b7d</v>
    <v>en-US</v>
    <v>Map</v>
  </rv>
  <rv s="0">
    <v>536870912</v>
    <v>Phrae province</v>
    <v>1c56ac66-0095-e89e-3205-89e7e4a9078c</v>
    <v>en-US</v>
    <v>Map</v>
  </rv>
  <rv s="0">
    <v>536870912</v>
    <v>Uttaradit province</v>
    <v>7afa7c5a-244d-03f0-7fc4-689f94788bdb</v>
    <v>en-US</v>
    <v>Map</v>
  </rv>
  <rv s="0">
    <v>536870912</v>
    <v>Kanchanaburi province</v>
    <v>78829daf-4fa5-5c2d-9f10-4da1ebbb7b07</v>
    <v>en-US</v>
    <v>Map</v>
  </rv>
  <rv s="0">
    <v>536870912</v>
    <v>Phetchaburi province</v>
    <v>24d7d851-f000-498e-4b14-950395383091</v>
    <v>en-US</v>
    <v>Map</v>
  </rv>
  <rv s="0">
    <v>536870912</v>
    <v>Prachuap Khiri Khan province</v>
    <v>f02632b4-4ca3-476d-b8ca-6d6eeca727b5</v>
    <v>en-US</v>
    <v>Map</v>
  </rv>
  <rv s="0">
    <v>536870912</v>
    <v>Ratchaburi province</v>
    <v>9106e633-4925-4a04-b58f-0ed8024ae947</v>
    <v>en-US</v>
    <v>Map</v>
  </rv>
  <rv s="0">
    <v>536870912</v>
    <v>Tak province</v>
    <v>243b2c7d-8668-e11f-6500-7bf8544652a1</v>
    <v>en-US</v>
    <v>Map</v>
  </rv>
  <rv s="0">
    <v>536870912</v>
    <v>Amnat Charoen province</v>
    <v>a3e2255c-2d4c-6a39-ee14-acb4b82794da</v>
    <v>en-US</v>
    <v>Map</v>
  </rv>
  <rv s="0">
    <v>536870912</v>
    <v>Buriram province</v>
    <v>286bf73d-595c-88a0-198d-d63ade1a7db0</v>
    <v>en-US</v>
    <v>Map</v>
  </rv>
  <rv s="0">
    <v>536870912</v>
    <v>Chaiyaphum province</v>
    <v>95db73b8-fa30-ad09-16f1-ce5277ecdcc7</v>
    <v>en-US</v>
    <v>Map</v>
  </rv>
  <rv s="0">
    <v>536870912</v>
    <v>Kalasin province</v>
    <v>a8164165-4567-027a-d2ff-7bb056e870e8</v>
    <v>en-US</v>
    <v>Map</v>
  </rv>
  <rv s="0">
    <v>536870912</v>
    <v>Khon Kaen province</v>
    <v>e2d66065-6e59-a164-1343-8f12f640920b</v>
    <v>en-US</v>
    <v>Map</v>
  </rv>
  <rv s="0">
    <v>536870912</v>
    <v>Loei province</v>
    <v>e58d9875-c305-ee1f-05ef-1fdf818e52db</v>
    <v>en-US</v>
    <v>Map</v>
  </rv>
  <rv s="0">
    <v>536870912</v>
    <v>Maha Sarakham province</v>
    <v>ed8e7a88-5ca7-1c3c-095f-53c3c392ca36</v>
    <v>en-US</v>
    <v>Map</v>
  </rv>
  <rv s="0">
    <v>536870912</v>
    <v>Mukdahan province</v>
    <v>183e95bf-ae60-ffc8-cd43-8bd722ea5cad</v>
    <v>en-US</v>
    <v>Map</v>
  </rv>
  <rv s="0">
    <v>536870912</v>
    <v>Nakhon Phanom province</v>
    <v>b431d58e-d6c9-cf67-b191-473f5b3d1e8d</v>
    <v>en-US</v>
    <v>Map</v>
  </rv>
  <rv s="0">
    <v>536870912</v>
    <v>Nakhon Ratchasima province</v>
    <v>7ce7803a-8dd0-1cde-8139-69ebef62dfa9</v>
    <v>en-US</v>
    <v>Map</v>
  </rv>
  <rv s="0">
    <v>536870912</v>
    <v>Nong Bua Lamphu province</v>
    <v>f506fb74-64c3-e442-eb93-23f39d769940</v>
    <v>en-US</v>
    <v>Map</v>
  </rv>
  <rv s="0">
    <v>536870912</v>
    <v>Nong Khai province</v>
    <v>8c153c99-d1d5-8939-8e38-a4771dab046e</v>
    <v>en-US</v>
    <v>Map</v>
  </rv>
  <rv s="0">
    <v>536870912</v>
    <v>Roi Et province</v>
    <v>85d9a1b9-72b1-8c2d-c8ae-a1a4ebeabff1</v>
    <v>en-US</v>
    <v>Map</v>
  </rv>
  <rv s="0">
    <v>536870912</v>
    <v>Sakon Nakhon province</v>
    <v>643c56ea-b791-7a7b-1715-4fb369e4828b</v>
    <v>en-US</v>
    <v>Map</v>
  </rv>
  <rv s="0">
    <v>536870912</v>
    <v>Sisaket province</v>
    <v>efff8ff8-a9e2-ff41-f162-5fe167bc2f68</v>
    <v>en-US</v>
    <v>Map</v>
  </rv>
  <rv s="0">
    <v>536870912</v>
    <v>Surin province</v>
    <v>bcfc86b1-45fe-cae6-e72b-124be7c0ec4c</v>
    <v>en-US</v>
    <v>Map</v>
  </rv>
  <rv s="0">
    <v>536870912</v>
    <v>Ubon Ratchathani province</v>
    <v>9799346e-1d7b-454c-1596-f7cfec285b4f</v>
    <v>en-US</v>
    <v>Map</v>
  </rv>
  <rv s="0">
    <v>536870912</v>
    <v>Udon Thani province</v>
    <v>f98afd3c-06df-6455-f66f-2905e60856a2</v>
    <v>en-US</v>
    <v>Map</v>
  </rv>
  <rv s="0">
    <v>536870912</v>
    <v>Yasothon province</v>
    <v>b691e27e-bdb8-cf25-87ee-76541e6804e2</v>
    <v>en-US</v>
    <v>Map</v>
  </rv>
  <rv s="0">
    <v>536870912</v>
    <v>Bueng Kan province</v>
    <v>a4160bb6-525a-4048-8b1c-f189304eeb89</v>
    <v>en-US</v>
    <v>Map</v>
  </rv>
  <rv s="0">
    <v>536870912</v>
    <v>Ang Thong province</v>
    <v>3b530508-becc-3215-2c96-0b9e1b51f154</v>
    <v>en-US</v>
    <v>Map</v>
  </rv>
  <rv s="0">
    <v>536870912</v>
    <v>Phra Nakhon Si Ayutthaya province</v>
    <v>578e9ec0-ecf1-f532-a8a1-18a5e9597ac1</v>
    <v>en-US</v>
    <v>Map</v>
  </rv>
  <rv s="0">
    <v>536870912</v>
    <v>Chai Nat province</v>
    <v>2ce7514f-a8ea-6fa8-4dd1-da4225bd72b8</v>
    <v>en-US</v>
    <v>Map</v>
  </rv>
  <rv s="0">
    <v>536870912</v>
    <v>Kamphaeng Phet province</v>
    <v>b90a4bac-0833-3612-3e23-e8e94bc63851</v>
    <v>en-US</v>
    <v>Map</v>
  </rv>
  <rv s="0">
    <v>536870912</v>
    <v>Lopburi province</v>
    <v>ceae64d6-76e9-5c56-fff7-00643272f340</v>
    <v>en-US</v>
    <v>Map</v>
  </rv>
  <rv s="0">
    <v>536870912</v>
    <v>Nakhon Nayok province</v>
    <v>c79375e7-7f58-a4e5-8d37-2d475d0b3ade</v>
    <v>en-US</v>
    <v>Map</v>
  </rv>
  <rv s="0">
    <v>536870912</v>
    <v>Nakhon Pathom province</v>
    <v>e0d61a62-637b-f7a9-232d-82400c4c113b</v>
    <v>en-US</v>
    <v>Map</v>
  </rv>
  <rv s="0">
    <v>536870912</v>
    <v>Nakhon Sawan province</v>
    <v>8d29908e-40c6-7b33-244d-14818fc17c76</v>
    <v>en-US</v>
    <v>Map</v>
  </rv>
  <rv s="0">
    <v>536870912</v>
    <v>Nonthaburi province</v>
    <v>38a59c88-5429-4d6c-b137-db4bef343bae</v>
    <v>en-US</v>
    <v>Map</v>
  </rv>
  <rv s="0">
    <v>536870912</v>
    <v>Pathum Thani province</v>
    <v>a4631966-30fd-7622-899c-11205340b931</v>
    <v>en-US</v>
    <v>Map</v>
  </rv>
  <rv s="0">
    <v>536870912</v>
    <v>Phetchabun province</v>
    <v>96583f01-5ecf-e761-123a-bbd7a098a0af</v>
    <v>en-US</v>
    <v>Map</v>
  </rv>
  <rv s="0">
    <v>536870912</v>
    <v>Phichit province</v>
    <v>1df4e6ac-5ca1-5d05-bdf2-8f2a41a56be6</v>
    <v>en-US</v>
    <v>Map</v>
  </rv>
  <rv s="0">
    <v>536870912</v>
    <v>Phitsanulok province</v>
    <v>99f5afe8-6528-aa85-8e99-e1d4b74eecb9</v>
    <v>en-US</v>
    <v>Map</v>
  </rv>
  <rv s="0">
    <v>536870912</v>
    <v>Sukhothai province</v>
    <v>0a6402e0-1579-efc4-94ee-731b92d86d30</v>
    <v>en-US</v>
    <v>Map</v>
  </rv>
  <rv s="0">
    <v>536870912</v>
    <v>Samut Prakan province</v>
    <v>4fca47ef-6db5-529c-d8cc-7233dae78274</v>
    <v>en-US</v>
    <v>Map</v>
  </rv>
  <rv s="0">
    <v>536870912</v>
    <v>Samut Sakhon province</v>
    <v>e980786c-cdbc-c326-bccd-3ef129d64795</v>
    <v>en-US</v>
    <v>Map</v>
  </rv>
  <rv s="0">
    <v>536870912</v>
    <v>Samut Songkhram province</v>
    <v>6981b8c3-86e5-2eb3-b5b0-dca3df5b623d</v>
    <v>en-US</v>
    <v>Map</v>
  </rv>
  <rv s="0">
    <v>536870912</v>
    <v>Saraburi province</v>
    <v>fc7f8d5c-4c87-0cc6-10a0-48e2cb2cbf12</v>
    <v>en-US</v>
    <v>Map</v>
  </rv>
  <rv s="0">
    <v>536870912</v>
    <v>Sing Buri province</v>
    <v>6130b71a-93d5-381b-8994-6c662c98368f</v>
    <v>en-US</v>
    <v>Map</v>
  </rv>
  <rv s="0">
    <v>536870912</v>
    <v>Suphan Buri province</v>
    <v>128d66e6-6c6c-7b30-fcd2-4a52c17fba2f</v>
    <v>en-US</v>
    <v>Map</v>
  </rv>
  <rv s="0">
    <v>536870912</v>
    <v>Uthai Thani province</v>
    <v>b43cdfd9-80ff-1611-dc6e-e1252fbdc043</v>
    <v>en-US</v>
    <v>Map</v>
  </rv>
  <rv s="0">
    <v>536870912</v>
    <v>Chachoengsao province</v>
    <v>65d6edef-7834-54a9-e3dd-9960101fd398</v>
    <v>en-US</v>
    <v>Map</v>
  </rv>
  <rv s="0">
    <v>536870912</v>
    <v>Chanthaburi province</v>
    <v>7e320113-f3bc-a68a-e3e2-32a306211183</v>
    <v>en-US</v>
    <v>Map</v>
  </rv>
  <rv s="0">
    <v>536870912</v>
    <v>Chonburi province</v>
    <v>51facd2e-84fc-996e-b57b-f36d2fd58e2f</v>
    <v>en-US</v>
    <v>Map</v>
  </rv>
  <rv s="0">
    <v>536870912</v>
    <v>Prachinburi province</v>
    <v>014a3f63-d8f1-79a4-bc41-df01b86d6dc0</v>
    <v>en-US</v>
    <v>Map</v>
  </rv>
  <rv s="0">
    <v>536870912</v>
    <v>Rayong province</v>
    <v>e967d008-0fd5-839d-5f76-1239ea9a3d78</v>
    <v>en-US</v>
    <v>Map</v>
  </rv>
  <rv s="0">
    <v>536870912</v>
    <v>Sa Kaeo province</v>
    <v>8822c0d1-49f1-ef37-2d74-4236bdae7db2</v>
    <v>en-US</v>
    <v>Map</v>
  </rv>
  <rv s="0">
    <v>536870912</v>
    <v>Trat province</v>
    <v>9a550417-ad10-bbc6-94db-81ea617698ac</v>
    <v>en-US</v>
    <v>Map</v>
  </rv>
  <rv s="0">
    <v>536870912</v>
    <v>Chumphon province</v>
    <v>f41d048f-3362-a5c8-e21b-0a64c129467e</v>
    <v>en-US</v>
    <v>Map</v>
  </rv>
  <rv s="0">
    <v>536870912</v>
    <v>Krabi province</v>
    <v>4cd9acbf-b437-bb27-ea9a-d3d74997c2ad</v>
    <v>en-US</v>
    <v>Map</v>
  </rv>
  <rv s="0">
    <v>536870912</v>
    <v>Nakhon Si Thammarat province</v>
    <v>bd31e26b-e9fb-5bfb-a24d-f97a2010852d</v>
    <v>en-US</v>
    <v>Map</v>
  </rv>
  <rv s="0">
    <v>536870912</v>
    <v>Narathiwat province</v>
    <v>920b263b-f271-938d-3446-028731fe8698</v>
    <v>en-US</v>
    <v>Map</v>
  </rv>
  <rv s="0">
    <v>536870912</v>
    <v>Pattani province</v>
    <v>19227138-e1ac-2ebe-45af-dec9111e9931</v>
    <v>en-US</v>
    <v>Map</v>
  </rv>
  <rv s="0">
    <v>536870912</v>
    <v>Phang Nga province</v>
    <v>e6a34126-0490-3447-3fb6-fdd8bf0b7afe</v>
    <v>en-US</v>
    <v>Map</v>
  </rv>
  <rv s="0">
    <v>536870912</v>
    <v>Phatthalung province</v>
    <v>b443801d-894b-7e2b-fe41-182a7f70dabd</v>
    <v>en-US</v>
    <v>Map</v>
  </rv>
  <rv s="0">
    <v>536870912</v>
    <v>Ranong province</v>
    <v>fbdf6111-bf54-12d4-c6d1-95590b109932</v>
    <v>en-US</v>
    <v>Map</v>
  </rv>
  <rv s="0">
    <v>536870912</v>
    <v>Satun province</v>
    <v>514729e9-3ba9-13c3-90e2-2b9fc1e5562f</v>
    <v>en-US</v>
    <v>Map</v>
  </rv>
  <rv s="0">
    <v>536870912</v>
    <v>Songkhla province</v>
    <v>0e2aa654-5226-84b6-807e-5786195cb93c</v>
    <v>en-US</v>
    <v>Map</v>
  </rv>
  <rv s="0">
    <v>536870912</v>
    <v>Surat Thani province</v>
    <v>e9f26cf5-c566-940d-61f7-5ce884ac07f3</v>
    <v>en-US</v>
    <v>Map</v>
  </rv>
  <rv s="0">
    <v>536870912</v>
    <v>Trang province</v>
    <v>674457b4-7466-8dd8-d488-e2285a57a9a8</v>
    <v>en-US</v>
    <v>Map</v>
  </rv>
  <rv s="0">
    <v>536870912</v>
    <v>Yala province</v>
    <v>e1a596b2-50dd-aa13-03aa-db9fe1a505e3</v>
    <v>en-US</v>
    <v>Map</v>
  </rv>
  <rv s="3">
    <v>9</v>
  </rv>
  <rv s="1">
    <fb>0.14927746956191601</fb>
    <v>40</v>
  </rv>
  <rv s="3">
    <v>10</v>
  </rv>
  <rv s="1">
    <fb>0.29499999999999998</fb>
    <v>40</v>
  </rv>
  <rv s="1">
    <fb>7.5400000810623199E-3</fb>
    <v>46</v>
  </rv>
  <rv s="1">
    <fb>35294600</fb>
    <v>8</v>
  </rv>
  <rv s="8">
    <v>#VALUE!</v>
    <v>en-US</v>
    <v>588bd4b9-e440-b7eb-2cab-2a54c0458548</v>
    <v>536870912</v>
    <v>1</v>
    <v>37</v>
    <v>38</v>
    <v>Thailand</v>
    <v>4</v>
    <v>5</v>
    <v>Map</v>
    <v>6</v>
    <v>39</v>
    <v>TH</v>
    <v>39</v>
    <v>40</v>
    <v>41</v>
    <v>42</v>
    <v>43</v>
    <v>44</v>
    <v>45</v>
    <v>46</v>
    <v>47</v>
    <v>THB</v>
    <v>Thailand, officially the Kingdom of Thailand and historically known as Siam, is a country in Southeast Asia on the Indochinese Peninsula. With a population of almost 66 million, it spans 513,115 square kilometres. Thailand is bordered to the ...</v>
    <v>48</v>
    <v>49</v>
    <v>50</v>
    <v>51</v>
    <v>52</v>
    <v>53</v>
    <v>54</v>
    <v>55</v>
    <v>56</v>
    <v>57</v>
    <v>44</v>
    <v>60</v>
    <v>61</v>
    <v>62</v>
    <v>63</v>
    <v>64</v>
    <v>65</v>
    <v>Thailand</v>
    <v>Thai National Anthem</v>
    <v>66</v>
    <v>ราชอาณาจักรไทย</v>
    <v>67</v>
    <v>68</v>
    <v>69</v>
    <v>70</v>
    <v>71</v>
    <v>72</v>
    <v>73</v>
    <v>74</v>
    <v>75</v>
    <v>76</v>
    <v>77</v>
    <v>153</v>
    <v>154</v>
    <v>155</v>
    <v>156</v>
    <v>157</v>
    <v>Thailand</v>
    <v>158</v>
    <v>mdp/vdpid/227</v>
  </rv>
  <rv s="1">
    <fb>1568.7370000000001</fb>
    <v>8</v>
  </rv>
  <rv s="2">
    <v>4</v>
    <v>6</v>
    <v>47</v>
    <v>7</v>
    <v>0</v>
    <v>Image of Bangkok</v>
  </rv>
  <rv s="0">
    <v>805306368</v>
    <v>Chadchart Sittipunt (Governor)</v>
    <v>9b3be4b3-dbc7-ce88-9c4a-e62414c3a14b</v>
    <v>en-US</v>
    <v>Generic</v>
  </rv>
  <rv s="3">
    <v>11</v>
  </rv>
  <rv s="4">
    <v>https://www.bing.com/search?q=bangkok+thailand&amp;form=skydnc</v>
    <v>Learn more on Bing</v>
  </rv>
  <rv s="1">
    <fb>5676648</fb>
    <v>8</v>
  </rv>
  <rv s="9">
    <v>#VALUE!</v>
    <v>en-US</v>
    <v>651e796f-a780-c032-4e9c-23e5f5fe5854</v>
    <v>536870912</v>
    <v>1</v>
    <v>49</v>
    <v>50</v>
    <v>Bangkok</v>
    <v>4</v>
    <v>5</v>
    <v>Map</v>
    <v>6</v>
    <v>51</v>
    <v>TH-10</v>
    <v>160</v>
    <v>Thailand</v>
    <v>29</v>
    <v>Bangkok, officially known in Thai as Krung Thep Maha Nakhon and colloquially as Krung Thep, is the capital and most populous city of Thailand. The city occupies 1,568.7 square kilometres in the Chao Phraya River delta in central Thailand and has ...</v>
    <v>161</v>
    <v>163</v>
    <v>164</v>
    <v>Bangkok</v>
    <v>165</v>
    <v>Bangkok</v>
    <v>mdp/vdpid/7862880221702127623</v>
  </rv>
  <rv s="0">
    <v>536870912</v>
    <v>Bali</v>
    <v>c4f6d9fa-e141-4316-1f4b-6dff75b71985</v>
    <v>en-US</v>
    <v>Map</v>
  </rv>
  <rv s="1">
    <fb>5780.06</fb>
    <v>8</v>
  </rv>
  <rv s="0">
    <v>536870912</v>
    <v>Denpasar</v>
    <v>245a2e37-fd96-4454-4d3f-983cec080af5</v>
    <v>en-US</v>
    <v>Map</v>
  </rv>
  <rv s="0">
    <v>536870912</v>
    <v>Indonesia</v>
    <v>b4a5bd62-2259-21e3-4627-bf249ae6ee84</v>
    <v>en-US</v>
    <v>Map</v>
  </rv>
  <rv s="1">
    <fb>1028171</fb>
    <v>8</v>
  </rv>
  <rv s="2">
    <v>5</v>
    <v>6</v>
    <v>52</v>
    <v>7</v>
    <v>0</v>
    <v>Image of Bali</v>
  </rv>
  <rv s="0">
    <v>805306368</v>
    <v>Sang Made Mahendra Jaya (Governor)</v>
    <v>f1d5d765-45a4-a9f3-182c-a52f1ccbd9b3</v>
    <v>en-US</v>
    <v>Generic</v>
  </rv>
  <rv s="3">
    <v>12</v>
  </rv>
  <rv s="4">
    <v>https://www.bing.com/search?q=bali&amp;form=skydnc</v>
    <v>Learn more on Bing</v>
  </rv>
  <rv s="3">
    <v>13</v>
  </rv>
  <rv s="1">
    <fb>3.78</fb>
    <v>16</v>
  </rv>
  <rv s="1">
    <fb>4362700</fb>
    <v>8</v>
  </rv>
  <rv s="10">
    <v>#VALUE!</v>
    <v>en-US</v>
    <v>c4f6d9fa-e141-4316-1f4b-6dff75b71985</v>
    <v>536870912</v>
    <v>1</v>
    <v>55</v>
    <v>56</v>
    <v>Bali</v>
    <v>4</v>
    <v>5</v>
    <v>Map</v>
    <v>6</v>
    <v>57</v>
    <v>ID-BA</v>
    <v>168</v>
    <v>169</v>
    <v>170</v>
    <v>Bali is a province of Indonesia and the westernmost of the Lesser Sunda Islands. East of Java and west of Lombok, the province includes the island of Bali and a few smaller offshore islands, notably Nusa Penida, Nusa Lembongan, and Nusa Ceningan ...</v>
    <v>171</v>
    <v>172</v>
    <v>169</v>
    <v>174</v>
    <v>175</v>
    <v>Bali</v>
    <v>176</v>
    <v>177</v>
    <v>178</v>
    <v>Bali</v>
    <v>mdp/vdpid/10127097</v>
  </rv>
  <rv s="1">
    <fb>123.98</fb>
    <v>8</v>
  </rv>
  <rv s="2">
    <v>6</v>
    <v>6</v>
    <v>58</v>
    <v>7</v>
    <v>0</v>
    <v>Image of Denpasar</v>
  </rv>
  <rv s="1">
    <fb>-8.6666666666666998</fb>
    <v>9</v>
  </rv>
  <rv s="0">
    <v>805306368</v>
    <v>I.G. Ngurah Jaya Negara (Mayor)</v>
    <v>169c2af2-a985-7f74-0df9-59808ef91608</v>
    <v>en-US</v>
    <v>Generic</v>
  </rv>
  <rv s="3">
    <v>14</v>
  </rv>
  <rv s="4">
    <v>https://www.bing.com/search?q=denpasar&amp;form=skydnc</v>
    <v>Learn more on Bing</v>
  </rv>
  <rv s="1">
    <fb>115.21666666666999</fb>
    <v>9</v>
  </rv>
  <rv s="1">
    <fb>897300</fb>
    <v>8</v>
  </rv>
  <rv s="11">
    <v>#VALUE!</v>
    <v>en-US</v>
    <v>245a2e37-fd96-4454-4d3f-983cec080af5</v>
    <v>536870912</v>
    <v>1</v>
    <v>59</v>
    <v>60</v>
    <v>Denpasar</v>
    <v>4</v>
    <v>5</v>
    <v>Map</v>
    <v>6</v>
    <v>61</v>
    <v>167</v>
    <v>180</v>
    <v>170</v>
    <v>Denpasar is the capital city of the province of Bali, Indonesia. Denpasar is the main gateway to the Bali island, the city is also a hub for other cities in the Lesser Sunda Islands. With the rapid growth of the tourism industry in Bali, ...</v>
    <v>181</v>
    <v>182</v>
    <v>184</v>
    <v>185</v>
    <v>186</v>
    <v>Denpasar</v>
    <v>187</v>
    <v>Denpasar</v>
    <v>mdp/vdpid/8688761510140313601</v>
  </rv>
  <rv s="0">
    <v>536870912</v>
    <v>New York City</v>
    <v>60d5dc2b-c915-460b-b722-c9e3485499ca</v>
    <v>en-US</v>
    <v>Map</v>
  </rv>
  <rv s="0">
    <v>536870912</v>
    <v>New York</v>
    <v>caeb7b9a-f5d7-4686-8fb5-cf7628296b13</v>
    <v>en-US</v>
    <v>Map</v>
  </rv>
  <rv s="1">
    <fb>1213.369839</fb>
    <v>8</v>
  </rv>
  <rv s="0">
    <v>536870912</v>
    <v>United States of America</v>
    <v>5232ed96-85b1-2edb-12c6-63e6c597a1de</v>
    <v>en-US</v>
    <v>Map</v>
  </rv>
  <rv s="2">
    <v>7</v>
    <v>6</v>
    <v>62</v>
    <v>7</v>
    <v>0</v>
    <v>Image of New York City</v>
  </rv>
  <rv s="1">
    <fb>40.700000000000003</fb>
    <v>9</v>
  </rv>
  <rv s="0">
    <v>805306368</v>
    <v>Eric Adams (Mayor)</v>
    <v>d104f492-36f0-3246-f9f7-c35dae370b2c</v>
    <v>en-US</v>
    <v>Generic</v>
  </rv>
  <rv s="3">
    <v>15</v>
  </rv>
  <rv s="4">
    <v>https://www.bing.com/search?q=new+york+city&amp;form=skydnc</v>
    <v>Learn more on Bing</v>
  </rv>
  <rv s="1">
    <fb>-74</fb>
    <v>9</v>
  </rv>
  <rv s="1">
    <fb>8804190</fb>
    <v>8</v>
  </rv>
  <rv s="3">
    <v>16</v>
  </rv>
  <rv s="12">
    <v>#VALUE!</v>
    <v>en-US</v>
    <v>60d5dc2b-c915-460b-b722-c9e3485499ca</v>
    <v>536870912</v>
    <v>1</v>
    <v>63</v>
    <v>64</v>
    <v>New York City</v>
    <v>4</v>
    <v>5</v>
    <v>Map</v>
    <v>6</v>
    <v>20</v>
    <v>190</v>
    <v>191</v>
    <v>192</v>
    <v>New York, often called New York City or simply NYC, is the most populous city in the United States, located at the southern tip of New York State on one of the world's largest natural harbors. The city comprises five boroughs, each coextensive ...</v>
    <v>193</v>
    <v>194</v>
    <v>196</v>
    <v>197</v>
    <v>198</v>
    <v>New York City</v>
    <v>199</v>
    <v>200</v>
    <v>New York City</v>
    <v>mdp/vdpid/5487505297524129794</v>
  </rv>
  <rv s="0">
    <v>536870912</v>
    <v>Tokyo</v>
    <v>cb44a92f-6c6f-99c4-2ae3-51601fdc919a</v>
    <v>en-US</v>
    <v>Map</v>
  </rv>
  <rv s="1">
    <fb>2194.0500000000002</fb>
    <v>8</v>
  </rv>
  <rv s="0">
    <v>536870912</v>
    <v>Special wards of Tokyo</v>
    <v>991a398b-acba-89c9-84b8-4eb77b3886d7</v>
    <v>en-US</v>
    <v>Map</v>
  </rv>
  <rv s="0">
    <v>536870912</v>
    <v>Japan</v>
    <v>130d0438-fafb-cd2d-1a9e-1dd9c5aa87a9</v>
    <v>en-US</v>
    <v>Map</v>
  </rv>
  <rv s="2">
    <v>8</v>
    <v>6</v>
    <v>65</v>
    <v>7</v>
    <v>0</v>
    <v>Image of Tokyo</v>
  </rv>
  <rv s="0">
    <v>536870912</v>
    <v>Shinjuku</v>
    <v>5632a22f-8419-6fb3-4f39-59c7c6326f8c</v>
    <v>en-US</v>
    <v>Map</v>
  </rv>
  <rv s="0">
    <v>805306368</v>
    <v>Yuriko Koike (Governor)</v>
    <v>3529b845-857d-a726-e527-f3385928e06a</v>
    <v>en-US</v>
    <v>Generic</v>
  </rv>
  <rv s="3">
    <v>17</v>
  </rv>
  <rv s="4">
    <v>https://www.bing.com/search?q=tokyo&amp;form=skydnc</v>
    <v>Learn more on Bing</v>
  </rv>
  <rv s="1">
    <fb>14187176</fb>
    <v>8</v>
  </rv>
  <rv s="3">
    <v>18</v>
  </rv>
  <rv s="13">
    <v>#VALUE!</v>
    <v>en-US</v>
    <v>cb44a92f-6c6f-99c4-2ae3-51601fdc919a</v>
    <v>536870912</v>
    <v>1</v>
    <v>67</v>
    <v>68</v>
    <v>Tokyo</v>
    <v>4</v>
    <v>5</v>
    <v>Map</v>
    <v>6</v>
    <v>69</v>
    <v>JP-13</v>
    <v>203</v>
    <v>204</v>
    <v>205</v>
    <v>Tokyo, officially the Tokyo Metropolis, is the capital city of Japan. With a population of over 14 million in the city proper in 2023, it is one of the most populous urban areas in the world. The Greater Tokyo Area, which includes Tokyo and ...</v>
    <v>206</v>
    <v>207</v>
    <v>209</v>
    <v>210</v>
    <v>Tokyo</v>
    <v>211</v>
    <v>212</v>
    <v>Tokyo</v>
    <v>mdp/vdpid/7932754762162765825</v>
  </rv>
  <rv s="1">
    <fb>0.122640991880623</fb>
    <v>40</v>
  </rv>
  <rv s="1">
    <fb>377972.28</fb>
    <v>8</v>
  </rv>
  <rv s="1">
    <fb>261000</fb>
    <v>8</v>
  </rv>
  <rv s="1">
    <fb>7.4</fb>
    <v>16</v>
  </rv>
  <rv s="1">
    <fb>81</fb>
    <v>41</v>
  </rv>
  <rv s="1">
    <fb>1135886.253</fb>
    <v>8</v>
  </rv>
  <rv s="1">
    <fb>105.482172148839</fb>
    <v>42</v>
  </rv>
  <rv s="1">
    <fb>4.7697368421052103E-3</fb>
    <v>40</v>
  </rv>
  <rv s="1">
    <fb>7819.7146359093604</fb>
    <v>8</v>
  </rv>
  <rv s="1">
    <fb>1.42</fb>
    <v>16</v>
  </rv>
  <rv s="1">
    <fb>0.68456222269653788</fb>
    <v>40</v>
  </rv>
  <rv s="1">
    <fb>93.026455107462894</fb>
    <v>43</v>
  </rv>
  <rv s="1">
    <fb>5081769542379.7695</fb>
    <v>45</v>
  </rv>
  <rv s="1">
    <fb>0.98799942016601605</fb>
    <v>40</v>
  </rv>
  <rv s="1">
    <fb>0.63237579345703099</fb>
    <v>40</v>
  </rv>
  <rv s="2">
    <v>9</v>
    <v>6</v>
    <v>71</v>
    <v>7</v>
    <v>0</v>
    <v>Image of Japan</v>
  </rv>
  <rv s="1">
    <fb>1.8</fb>
    <v>43</v>
  </rv>
  <rv s="0">
    <v>805306368</v>
    <v>Naruhito (Emperor)</v>
    <v>35e4e13c-2b05-0c5c-8b77-bb62a3da4162</v>
    <v>en-US</v>
    <v>Generic</v>
  </rv>
  <rv s="0">
    <v>805306368</v>
    <v>Shigeru Ishiba (Prime minister)</v>
    <v>dddb9483-d8cc-cc64-0dc3-9b8261eb78ec</v>
    <v>en-US</v>
    <v>Generic</v>
  </rv>
  <rv s="3">
    <v>19</v>
  </rv>
  <rv s="4">
    <v>https://www.bing.com/search?q=japan&amp;form=skydnc</v>
    <v>Learn more on Bing</v>
  </rv>
  <rv s="1">
    <fb>84.210975609756105</fb>
    <v>43</v>
  </rv>
  <rv s="1">
    <fb>6191073290000</fb>
    <v>45</v>
  </rv>
  <rv s="1">
    <fb>5</fb>
    <v>43</v>
  </rv>
  <rv s="1">
    <fb>6.77</fb>
    <v>44</v>
  </rv>
  <rv s="3">
    <v>20</v>
  </rv>
  <rv s="1">
    <fb>0.13097521000000001</fb>
    <v>40</v>
  </rv>
  <rv s="1">
    <fb>2.4115000000000002</fb>
    <v>16</v>
  </rv>
  <rv s="1">
    <fb>125124989</fb>
    <v>8</v>
  </rv>
  <rv s="1">
    <fb>0.217</fb>
    <v>40</v>
  </rv>
  <rv s="1">
    <fb>0.26400000000000001</fb>
    <v>40</v>
  </rv>
  <rv s="1">
    <fb>0.41100000000000003</fb>
    <v>40</v>
  </rv>
  <rv s="1">
    <fb>2.8999999999999998E-2</fb>
    <v>40</v>
  </rv>
  <rv s="1">
    <fb>7.6999999999999999E-2</fb>
    <v>40</v>
  </rv>
  <rv s="1">
    <fb>0.128</fb>
    <v>40</v>
  </rv>
  <rv s="1">
    <fb>0.16600000000000001</fb>
    <v>40</v>
  </rv>
  <rv s="1">
    <fb>0.61726001739502001</fb>
    <v>40</v>
  </rv>
  <rv s="0">
    <v>536870912</v>
    <v>Aichi Prefecture</v>
    <v>404b15c4-d9ae-5896-6d50-b1481f5dd5cd</v>
    <v>en-US</v>
    <v>Map</v>
  </rv>
  <rv s="0">
    <v>536870912</v>
    <v>Akita Prefecture</v>
    <v>23901f9e-0010-b10e-217f-76889688c150</v>
    <v>en-US</v>
    <v>Map</v>
  </rv>
  <rv s="0">
    <v>536870912</v>
    <v>Aomori Prefecture</v>
    <v>bdd4a43f-5a1f-1483-b74b-1c2e2d564a31</v>
    <v>en-US</v>
    <v>Map</v>
  </rv>
  <rv s="0">
    <v>536870912</v>
    <v>Chiba Prefecture</v>
    <v>0d6c59a9-daa8-57c7-3846-568b398d3c41</v>
    <v>en-US</v>
    <v>Map</v>
  </rv>
  <rv s="0">
    <v>536870912</v>
    <v>Fukui Prefecture</v>
    <v>e859104b-0d73-b8bf-c4f4-56888a2281cd</v>
    <v>en-US</v>
    <v>Map</v>
  </rv>
  <rv s="0">
    <v>536870912</v>
    <v>Fukushima Prefecture</v>
    <v>73791ec1-3b90-e21b-3cc7-0e8444934877</v>
    <v>en-US</v>
    <v>Map</v>
  </rv>
  <rv s="0">
    <v>536870912</v>
    <v>Gunma Prefecture</v>
    <v>b64077a0-378d-c23f-b45c-2b3a03cba119</v>
    <v>en-US</v>
    <v>Map</v>
  </rv>
  <rv s="0">
    <v>536870912</v>
    <v>Ibaraki Prefecture</v>
    <v>d16517c8-96b5-094f-f4ce-4aa391d6c7a2</v>
    <v>en-US</v>
    <v>Map</v>
  </rv>
  <rv s="0">
    <v>536870912</v>
    <v>Iwate Prefecture</v>
    <v>02eea5a7-6ae7-8bf6-a17a-c242b4162121</v>
    <v>en-US</v>
    <v>Map</v>
  </rv>
  <rv s="0">
    <v>536870912</v>
    <v>Miyagi Prefecture</v>
    <v>2df5e06d-7fb5-6da7-5d3b-29b4ff80395e</v>
    <v>en-US</v>
    <v>Map</v>
  </rv>
  <rv s="0">
    <v>536870912</v>
    <v>Saitama Prefecture</v>
    <v>03a81bc6-6fd0-fac9-0958-cd81fcf07a35</v>
    <v>en-US</v>
    <v>Map</v>
  </rv>
  <rv s="0">
    <v>536870912</v>
    <v>Tochigi Prefecture</v>
    <v>faae3362-0727-4ec5-6d01-3048e7e1526c</v>
    <v>en-US</v>
    <v>Map</v>
  </rv>
  <rv s="0">
    <v>536870912</v>
    <v>Kanagawa Prefecture</v>
    <v>d5976989-847c-bcca-3cb3-11bfacc55c5d</v>
    <v>en-US</v>
    <v>Map</v>
  </rv>
  <rv s="0">
    <v>536870912</v>
    <v>Niigata Prefecture</v>
    <v>d88c2b16-14cc-3861-9ddc-31ebd94b17d9</v>
    <v>en-US</v>
    <v>Map</v>
  </rv>
  <rv s="0">
    <v>536870912</v>
    <v>Toyama Prefecture</v>
    <v>3fd9a341-4706-cc8a-3953-779219c2cc10</v>
    <v>en-US</v>
    <v>Map</v>
  </rv>
  <rv s="0">
    <v>536870912</v>
    <v>Ishikawa Prefecture</v>
    <v>db2b14c2-e9db-32f7-5d44-025637689af0</v>
    <v>en-US</v>
    <v>Map</v>
  </rv>
  <rv s="0">
    <v>536870912</v>
    <v>Yamagata Prefecture</v>
    <v>74d18529-a623-a2f9-9e38-40891e57c7d8</v>
    <v>en-US</v>
    <v>Map</v>
  </rv>
  <rv s="0">
    <v>536870912</v>
    <v>Yamanashi Prefecture</v>
    <v>3e9e0d88-33e9-a04d-7fd7-a1679da279b5</v>
    <v>en-US</v>
    <v>Map</v>
  </rv>
  <rv s="0">
    <v>536870912</v>
    <v>Nagano Prefecture</v>
    <v>7afcd7d0-3729-6e2f-d60f-ace5cc191bd0</v>
    <v>en-US</v>
    <v>Map</v>
  </rv>
  <rv s="0">
    <v>536870912</v>
    <v>Gifu Prefecture</v>
    <v>2c82ed6b-33c4-4355-bd09-71939ba5ff4a</v>
    <v>en-US</v>
    <v>Map</v>
  </rv>
  <rv s="0">
    <v>536870912</v>
    <v>Shizuoka Prefecture</v>
    <v>ca8ec756-8a3c-20a2-7e11-d24e284b7258</v>
    <v>en-US</v>
    <v>Map</v>
  </rv>
  <rv s="0">
    <v>536870912</v>
    <v>Mie Prefecture</v>
    <v>36b5c190-9782-f717-071c-66ee3f0eab90</v>
    <v>en-US</v>
    <v>Map</v>
  </rv>
  <rv s="0">
    <v>536870912</v>
    <v>Shiga Prefecture</v>
    <v>a778bb7c-b03b-d571-1839-962c4dea2bb2</v>
    <v>en-US</v>
    <v>Map</v>
  </rv>
  <rv s="0">
    <v>536870912</v>
    <v>Kyoto Prefecture</v>
    <v>699d1960-1267-7c97-6c62-e139537430a0</v>
    <v>en-US</v>
    <v>Map</v>
  </rv>
  <rv s="0">
    <v>536870912</v>
    <v>Osaka Prefecture</v>
    <v>a583e9fe-2d16-b004-281e-4c6841471145</v>
    <v>en-US</v>
    <v>Map</v>
  </rv>
  <rv s="0">
    <v>536870912</v>
    <v>Hyōgo Prefecture</v>
    <v>018712db-aec7-3894-1042-cbf5df14fac5</v>
    <v>en-US</v>
    <v>Map</v>
  </rv>
  <rv s="0">
    <v>536870912</v>
    <v>Nara Prefecture</v>
    <v>99c4ba8c-9fb8-efe8-6368-0eb648372fb2</v>
    <v>en-US</v>
    <v>Map</v>
  </rv>
  <rv s="0">
    <v>536870912</v>
    <v>Wakayama Prefecture</v>
    <v>fa064941-15ba-eb91-63a1-7e13f0aaa879</v>
    <v>en-US</v>
    <v>Map</v>
  </rv>
  <rv s="0">
    <v>536870912</v>
    <v>Tottori Prefecture</v>
    <v>5bfbddb8-df0b-1d9c-3772-363d9be5878a</v>
    <v>en-US</v>
    <v>Map</v>
  </rv>
  <rv s="0">
    <v>536870912</v>
    <v>Shimane Prefecture</v>
    <v>580cd2e8-a550-7297-21b8-252fe27c1650</v>
    <v>en-US</v>
    <v>Map</v>
  </rv>
  <rv s="0">
    <v>536870912</v>
    <v>Okayama Prefecture</v>
    <v>e9792cdf-f004-a2bf-db55-28eabec2a7c0</v>
    <v>en-US</v>
    <v>Map</v>
  </rv>
  <rv s="0">
    <v>536870912</v>
    <v>Hiroshima Prefecture</v>
    <v>75de6a1b-763c-40ed-8e98-60dc318775fc</v>
    <v>en-US</v>
    <v>Map</v>
  </rv>
  <rv s="0">
    <v>536870912</v>
    <v>Yamaguchi Prefecture</v>
    <v>8a70f93f-b3cb-6430-8962-9b62c21575f3</v>
    <v>en-US</v>
    <v>Map</v>
  </rv>
  <rv s="0">
    <v>536870912</v>
    <v>Tokushima Prefecture</v>
    <v>90ca77f2-2c01-cf7e-fb1e-58a68f9fc0bf</v>
    <v>en-US</v>
    <v>Map</v>
  </rv>
  <rv s="0">
    <v>536870912</v>
    <v>Kagawa Prefecture</v>
    <v>bdd9ba22-f775-2984-6115-5438af268070</v>
    <v>en-US</v>
    <v>Map</v>
  </rv>
  <rv s="0">
    <v>536870912</v>
    <v>Ehime Prefecture</v>
    <v>0e0b1bbf-5926-d5dc-0e10-24f8c566ca8c</v>
    <v>en-US</v>
    <v>Map</v>
  </rv>
  <rv s="0">
    <v>536870912</v>
    <v>Kōchi Prefecture</v>
    <v>3fcb8073-d695-79de-cd11-91dc78fb0481</v>
    <v>en-US</v>
    <v>Map</v>
  </rv>
  <rv s="0">
    <v>536870912</v>
    <v>Fukuoka Prefecture</v>
    <v>a58bcb0e-97b3-0ac9-f0c0-e119441e5cba</v>
    <v>en-US</v>
    <v>Map</v>
  </rv>
  <rv s="0">
    <v>536870912</v>
    <v>Nagasaki Prefecture</v>
    <v>8caf62a2-006c-dde2-9c4d-e19d90ff2f0e</v>
    <v>en-US</v>
    <v>Map</v>
  </rv>
  <rv s="0">
    <v>536870912</v>
    <v>Kumamoto Prefecture</v>
    <v>52bcf337-792b-3880-8875-847fe25699df</v>
    <v>en-US</v>
    <v>Map</v>
  </rv>
  <rv s="0">
    <v>536870912</v>
    <v>Ōita Prefecture</v>
    <v>c81f03fa-05e5-d708-3db6-3b6d5ed92f67</v>
    <v>en-US</v>
    <v>Map</v>
  </rv>
  <rv s="0">
    <v>536870912</v>
    <v>Miyazaki Prefecture</v>
    <v>3bb91686-f345-53cf-6fb8-97d98890dc7d</v>
    <v>en-US</v>
    <v>Map</v>
  </rv>
  <rv s="0">
    <v>536870912</v>
    <v>Kagoshima Prefecture</v>
    <v>c3e1f2d9-0225-9e77-d77d-952bbf72ceb7</v>
    <v>en-US</v>
    <v>Map</v>
  </rv>
  <rv s="0">
    <v>536870912</v>
    <v>Okinawa Prefecture</v>
    <v>e26094bf-30f4-9d5e-ed21-f166be1cfad3</v>
    <v>en-US</v>
    <v>Map</v>
  </rv>
  <rv s="0">
    <v>536870912</v>
    <v>Saga Prefecture</v>
    <v>171c9320-6b1a-2ebc-2002-85b3d707f979</v>
    <v>en-US</v>
    <v>Map</v>
  </rv>
  <rv s="3">
    <v>21</v>
  </rv>
  <rv s="1">
    <fb>0.11905933830538</fb>
    <v>40</v>
  </rv>
  <rv s="1">
    <fb>0.46700000000000003</fb>
    <v>40</v>
  </rv>
  <rv s="1">
    <fb>2.2909998893737803E-2</fb>
    <v>46</v>
  </rv>
  <rv s="1">
    <fb>115782416</fb>
    <v>8</v>
  </rv>
  <rv s="8">
    <v>#VALUE!</v>
    <v>en-US</v>
    <v>130d0438-fafb-cd2d-1a9e-1dd9c5aa87a9</v>
    <v>536870912</v>
    <v>1</v>
    <v>74</v>
    <v>38</v>
    <v>Japan</v>
    <v>4</v>
    <v>5</v>
    <v>Map</v>
    <v>6</v>
    <v>75</v>
    <v>JP</v>
    <v>214</v>
    <v>215</v>
    <v>216</v>
    <v>217</v>
    <v>218</v>
    <v>202</v>
    <v>219</v>
    <v>220</v>
    <v>221</v>
    <v>JPY</v>
    <v>Japan is an island country in East Asia. Located in the Pacific Ocean off the northeast coast of the Asian mainland, it is bordered on the west by the Sea of Japan and extends from the Sea of Okhotsk in the north to the East China Sea in the ...</v>
    <v>222</v>
    <v>223</v>
    <v>224</v>
    <v>225</v>
    <v>65</v>
    <v>226</v>
    <v>227</v>
    <v>228</v>
    <v>229</v>
    <v>230</v>
    <v>202</v>
    <v>233</v>
    <v>234</v>
    <v>235</v>
    <v>236</v>
    <v>237</v>
    <v>238</v>
    <v>Japan</v>
    <v>Kimigayo</v>
    <v>239</v>
    <v>日本国</v>
    <v>240</v>
    <v>241</v>
    <v>242</v>
    <v>243</v>
    <v>244</v>
    <v>245</v>
    <v>246</v>
    <v>247</v>
    <v>248</v>
    <v>249</v>
    <v>250</v>
    <v>296</v>
    <v>297</v>
    <v>212</v>
    <v>298</v>
    <v>299</v>
    <v>Japan</v>
    <v>300</v>
    <v>mdp/vdpid/122</v>
  </rv>
  <rv s="0">
    <v>536870912</v>
    <v>Paris</v>
    <v>85584d24-2116-5b98-89f9-5714db931ac6</v>
    <v>en-US</v>
    <v>Map</v>
  </rv>
  <rv s="0">
    <v>536870912</v>
    <v>Metropolitan France</v>
    <v>a50a7b3c-58a6-b52d-98d1-10a1a763403b</v>
    <v>en-US</v>
    <v>Map</v>
  </rv>
  <rv s="0">
    <v>536870912</v>
    <v>Île-de-France</v>
    <v>ba200862-fc37-6d22-3434-c6e709faa507</v>
    <v>en-US</v>
    <v>Map</v>
  </rv>
  <rv s="1">
    <fb>105.4</fb>
    <v>8</v>
  </rv>
  <rv s="0">
    <v>536870912</v>
    <v>France</v>
    <v>c7bfe2de-4f82-e23c-ae42-8544b5b5c0ea</v>
    <v>en-US</v>
    <v>Map</v>
  </rv>
  <rv s="2">
    <v>10</v>
    <v>6</v>
    <v>76</v>
    <v>7</v>
    <v>0</v>
    <v>Image of Paris</v>
  </rv>
  <rv s="1">
    <fb>48.856666666666698</fb>
    <v>9</v>
  </rv>
  <rv s="0">
    <v>805306368</v>
    <v>Anne Hidalgo (Mayor)</v>
    <v>f26212ed-b25d-e4f8-ecf0-85777b9d38cf</v>
    <v>en-US</v>
    <v>Generic</v>
  </rv>
  <rv s="3">
    <v>22</v>
  </rv>
  <rv s="4">
    <v>https://www.bing.com/search?q=paris+france&amp;form=skydnc</v>
    <v>Learn more on Bing</v>
  </rv>
  <rv s="1">
    <fb>2.35222222222222</fb>
    <v>9</v>
  </rv>
  <rv s="1">
    <fb>2048472</fb>
    <v>8</v>
  </rv>
  <rv s="3">
    <v>23</v>
  </rv>
  <rv s="5">
    <v>#VALUE!</v>
    <v>en-US</v>
    <v>85584d24-2116-5b98-89f9-5714db931ac6</v>
    <v>536870912</v>
    <v>1</v>
    <v>77</v>
    <v>2</v>
    <v>Paris</v>
    <v>4</v>
    <v>5</v>
    <v>Map</v>
    <v>6</v>
    <v>78</v>
    <v>303</v>
    <v>304</v>
    <v>305</v>
    <v>306</v>
    <v>Paris is the capital and largest city of France. With an estimated population of 2,048,472 residents in January 2025 in an area of more than 105 km², Paris is the fourth-most populous city in the European Union, the ninth-most populous city in ...</v>
    <v>307</v>
    <v>308</v>
    <v>310</v>
    <v>311</v>
    <v>312</v>
    <v>Paris</v>
    <v>313</v>
    <v>314</v>
    <v>Paris</v>
    <v>mdp/vdpid/7012570570818584578</v>
  </rv>
  <rv s="1">
    <fb>0.524475441661716</fb>
    <v>40</v>
  </rv>
  <rv s="1">
    <fb>643801</fb>
    <v>8</v>
  </rv>
  <rv s="1">
    <fb>307000</fb>
    <v>8</v>
  </rv>
  <rv s="1">
    <fb>11.3</fb>
    <v>16</v>
  </rv>
  <rv s="1">
    <fb>33</fb>
    <v>41</v>
  </rv>
  <rv s="1">
    <fb>303275.56800000003</fb>
    <v>8</v>
  </rv>
  <rv s="1">
    <fb>110.04856675289</fb>
    <v>42</v>
  </rv>
  <rv s="1">
    <fb>1.1082549228829199E-2</fb>
    <v>40</v>
  </rv>
  <rv s="1">
    <fb>6939.5214736692897</fb>
    <v>8</v>
  </rv>
  <rv s="1">
    <fb>1.88</fb>
    <v>16</v>
  </rv>
  <rv s="1">
    <fb>0.31233278442262596</fb>
    <v>40</v>
  </rv>
  <rv s="1">
    <fb>46.487970872236403</fb>
    <v>43</v>
  </rv>
  <rv s="1">
    <fb>1.39</fb>
    <v>44</v>
  </rv>
  <rv s="1">
    <fb>2715518274227.4502</fb>
    <v>45</v>
  </rv>
  <rv s="1">
    <fb>1.0251076000000001</fb>
    <v>40</v>
  </rv>
  <rv s="1">
    <fb>0.65629000000000004</fb>
    <v>40</v>
  </rv>
  <rv s="2">
    <v>11</v>
    <v>6</v>
    <v>80</v>
    <v>7</v>
    <v>0</v>
    <v>Image of France</v>
  </rv>
  <rv s="1">
    <fb>3.4</fb>
    <v>43</v>
  </rv>
  <rv s="0">
    <v>805306368</v>
    <v>Emmanuel Macron (President)</v>
    <v>35be5a56-7a78-6352-b158-60da8f84c858</v>
    <v>en-US</v>
    <v>Generic</v>
  </rv>
  <rv s="0">
    <v>805306368</v>
    <v>François Bayrou (Prime minister)</v>
    <v>901a2dc7-aad0-c6da-f219-c2d7def8acba</v>
    <v>en-US</v>
    <v>Generic</v>
  </rv>
  <rv s="3">
    <v>24</v>
  </rv>
  <rv s="4">
    <v>https://www.bing.com/search?q=france&amp;form=skydnc</v>
    <v>Learn more on Bing</v>
  </rv>
  <rv s="1">
    <fb>82.526829268292701</fb>
    <v>43</v>
  </rv>
  <rv s="1">
    <fb>2365950236659.3599</fb>
    <v>45</v>
  </rv>
  <rv s="1">
    <fb>8</fb>
    <v>43</v>
  </rv>
  <rv s="1">
    <fb>11.16</fb>
    <v>44</v>
  </rv>
  <rv s="3">
    <v>25</v>
  </rv>
  <rv s="1">
    <fb>6.7968269799999995E-2</fb>
    <v>40</v>
  </rv>
  <rv s="1">
    <fb>3.2671999999999999</fb>
    <v>16</v>
  </rv>
  <rv s="1">
    <fb>67749632</fb>
    <v>8</v>
  </rv>
  <rv s="1">
    <fb>0.21899999999999997</fb>
    <v>40</v>
  </rv>
  <rv s="1">
    <fb>0.25800000000000001</fb>
    <v>40</v>
  </rv>
  <rv s="1">
    <fb>0.4</fb>
    <v>40</v>
  </rv>
  <rv s="1">
    <fb>3.2000000000000001E-2</fb>
    <v>40</v>
  </rv>
  <rv s="1">
    <fb>8.1000000000000003E-2</fb>
    <v>40</v>
  </rv>
  <rv s="1">
    <fb>0.13</fb>
    <v>40</v>
  </rv>
  <rv s="1">
    <fb>0.16899999999999998</fb>
    <v>40</v>
  </rv>
  <rv s="1">
    <fb>0.55125999450683605</fb>
    <v>40</v>
  </rv>
  <rv s="0">
    <v>536870912</v>
    <v>Brittany</v>
    <v>809fb739-638d-2499-95bd-c8e5b10153ee</v>
    <v>en-US</v>
    <v>Map</v>
  </rv>
  <rv s="0">
    <v>536870912</v>
    <v>Centre-Val de Loire</v>
    <v>6aafd8c4-aba3-0388-62a3-d302e77f40c4</v>
    <v>en-US</v>
    <v>Map</v>
  </rv>
  <rv s="0">
    <v>536870912</v>
    <v>Corsica</v>
    <v>7dae6ff4-03ba-2162-da4b-d4cf544ad43f</v>
    <v>en-US</v>
    <v>Map</v>
  </rv>
  <rv s="0">
    <v>536870912</v>
    <v>Pays de la Loire</v>
    <v>a6129a88-a4cd-2b75-1a35-f5d0639f17ae</v>
    <v>en-US</v>
    <v>Map</v>
  </rv>
  <rv s="0">
    <v>536870912</v>
    <v>Provence-Alpes-Côte d'Azur</v>
    <v>66cd1ae3-f633-45f9-93bd-73ca67bffb25</v>
    <v>en-US</v>
    <v>Map</v>
  </rv>
  <rv s="0">
    <v>536870912</v>
    <v>Guadeloupe</v>
    <v>56b80aaa-d840-1a73-13ba-70eb9b61a642</v>
    <v>en-US</v>
    <v>Map</v>
  </rv>
  <rv s="0">
    <v>536870912</v>
    <v>French Guiana</v>
    <v>328feb88-20d1-8674-1574-3ce8cc0bc9e9</v>
    <v>en-US</v>
    <v>Map</v>
  </rv>
  <rv s="0">
    <v>536870912</v>
    <v>Martinique</v>
    <v>f245adef-ee09-9352-e265-2a287e5eadbe</v>
    <v>en-US</v>
    <v>Map</v>
  </rv>
  <rv s="0">
    <v>536870912</v>
    <v>Mayotte</v>
    <v>545cc8bc-c211-076d-ee26-d2ff955eb394</v>
    <v>en-US</v>
    <v>Map</v>
  </rv>
  <rv s="0">
    <v>536870912</v>
    <v>Réunion</v>
    <v>7d1fa0b0-e3d7-d903-d64d-489c03fd0a75</v>
    <v>en-US</v>
    <v>Map</v>
  </rv>
  <rv s="0">
    <v>536870912</v>
    <v>French Polynesia</v>
    <v>340e15d5-6b74-8497-bbfa-4c1f323f5483</v>
    <v>en-US</v>
    <v>Map</v>
  </rv>
  <rv s="0">
    <v>536870912</v>
    <v>French Southern and Antarctic Lands</v>
    <v>b9d52319-44ee-bf16-d95f-72397f26ce4a</v>
    <v>en-US</v>
    <v>Map</v>
  </rv>
  <rv s="0">
    <v>536870912</v>
    <v>New Caledonia</v>
    <v>25b2aeab-b390-d01e-1f7f-90be767bd899</v>
    <v>en-US</v>
    <v>Map</v>
  </rv>
  <rv s="0">
    <v>536870912</v>
    <v>Saint Barthélemy</v>
    <v>5c5081a9-306e-4f05-73a2-32b95a4b8600</v>
    <v>en-US</v>
    <v>Map</v>
  </rv>
  <rv s="0">
    <v>536870912</v>
    <v>Collectivity of Saint Martin</v>
    <v>281a8fb2-1b63-4320-5d31-8f0fb46c4f1a</v>
    <v>en-US</v>
    <v>Map</v>
  </rv>
  <rv s="0">
    <v>536870912</v>
    <v>Saint Pierre and Miquelon</v>
    <v>aa096cf4-a54e-cd44-7204-c28310ca40f4</v>
    <v>en-US</v>
    <v>Map</v>
  </rv>
  <rv s="0">
    <v>536870912</v>
    <v>Wallis and Futuna</v>
    <v>db8aa235-58e4-9e3d-8799-6839f3d35025</v>
    <v>en-US</v>
    <v>Map</v>
  </rv>
  <rv s="0">
    <v>536870912</v>
    <v>Grand Est</v>
    <v>e2f60e84-1701-6d84-e960-ba87138e3631</v>
    <v>en-US</v>
    <v>Map</v>
  </rv>
  <rv s="0">
    <v>536870912</v>
    <v>Nouvelle-Aquitaine</v>
    <v>7955f423-af31-d2e0-f045-b14668178865</v>
    <v>en-US</v>
    <v>Map</v>
  </rv>
  <rv s="0">
    <v>536870912</v>
    <v>Auvergne-Rhône-Alpes</v>
    <v>b53940d0-b739-faf5-78d1-93f189f878c9</v>
    <v>en-US</v>
    <v>Map</v>
  </rv>
  <rv s="0">
    <v>536870912</v>
    <v>Bourgogne-Franche-Comté</v>
    <v>4bc8dff1-8d72-5341-f405-63c7be8c6672</v>
    <v>en-US</v>
    <v>Map</v>
  </rv>
  <rv s="0">
    <v>536870912</v>
    <v>Occitania</v>
    <v>5105d172-dc70-689f-09ab-4163a747508a</v>
    <v>en-US</v>
    <v>Map</v>
  </rv>
  <rv s="0">
    <v>536870912</v>
    <v>Hauts-de-France</v>
    <v>4eb2d0b0-8845-48d0-9343-9ba3e7fe81a0</v>
    <v>en-US</v>
    <v>Map</v>
  </rv>
  <rv s="0">
    <v>536870912</v>
    <v>Clipperton Island</v>
    <v>15fb63fc-f501-7360-7d44-f26d1501209e</v>
    <v>en-US</v>
    <v>Map</v>
  </rv>
  <rv s="3">
    <v>26</v>
  </rv>
  <rv s="1">
    <fb>0.24229980509910898</fb>
    <v>40</v>
  </rv>
  <rv s="3">
    <v>27</v>
  </rv>
  <rv s="1">
    <fb>0.60699999999999998</fb>
    <v>40</v>
  </rv>
  <rv s="1">
    <fb>8.4270000457763714E-2</fb>
    <v>46</v>
  </rv>
  <rv s="1">
    <fb>54123364</fb>
    <v>8</v>
  </rv>
  <rv s="8">
    <v>#VALUE!</v>
    <v>en-US</v>
    <v>c7bfe2de-4f82-e23c-ae42-8544b5b5c0ea</v>
    <v>536870912</v>
    <v>1</v>
    <v>83</v>
    <v>38</v>
    <v>France</v>
    <v>4</v>
    <v>5</v>
    <v>Map</v>
    <v>6</v>
    <v>84</v>
    <v>FR</v>
    <v>316</v>
    <v>317</v>
    <v>318</v>
    <v>319</v>
    <v>320</v>
    <v>302</v>
    <v>321</v>
    <v>322</v>
    <v>323</v>
    <v>EUR</v>
    <v>France, officially the French Republic, is a country located primarily in Western Europe. Its overseas regions and territories include French Guiana in South America, Saint Pierre and Miquelon in the North Atlantic, the French West Indies, and ...</v>
    <v>324</v>
    <v>325</v>
    <v>326</v>
    <v>327</v>
    <v>328</v>
    <v>329</v>
    <v>330</v>
    <v>331</v>
    <v>332</v>
    <v>333</v>
    <v>302</v>
    <v>336</v>
    <v>337</v>
    <v>338</v>
    <v>339</v>
    <v>340</v>
    <v>341</v>
    <v>France</v>
    <v>La Marseillaise</v>
    <v>342</v>
    <v>République française</v>
    <v>343</v>
    <v>344</v>
    <v>345</v>
    <v>346</v>
    <v>347</v>
    <v>348</v>
    <v>349</v>
    <v>350</v>
    <v>351</v>
    <v>352</v>
    <v>353</v>
    <v>378</v>
    <v>379</v>
    <v>380</v>
    <v>381</v>
    <v>382</v>
    <v>France</v>
    <v>383</v>
    <v>mdp/vdpid/84</v>
  </rv>
  <rv s="0">
    <v>536870912</v>
    <v>Sydney</v>
    <v>3ecec2e8-2993-42e7-7299-f693bbe3b9b9</v>
    <v>en-US</v>
    <v>Map</v>
  </rv>
  <rv s="0">
    <v>536870912</v>
    <v>New South Wales</v>
    <v>9143b1e4-782f-52c3-0f4a-cea5eaf6f36a</v>
    <v>en-US</v>
    <v>Map</v>
  </rv>
  <rv s="1">
    <fb>12144.6</fb>
    <v>8</v>
  </rv>
  <rv s="0">
    <v>536870912</v>
    <v>Australia</v>
    <v>06de2191-243d-a83f-6990-2eb1c7f3382a</v>
    <v>en-US</v>
    <v>Map</v>
  </rv>
  <rv s="2">
    <v>12</v>
    <v>6</v>
    <v>85</v>
    <v>7</v>
    <v>0</v>
    <v>Image of Sydney</v>
  </rv>
  <rv s="1">
    <fb>-33.867777777777803</fb>
    <v>9</v>
  </rv>
  <rv s="4">
    <v>https://www.bing.com/search?q=sydney+australia&amp;form=skydnc</v>
    <v>Learn more on Bing</v>
  </rv>
  <rv s="1">
    <fb>151.21</fb>
    <v>9</v>
  </rv>
  <rv s="1">
    <fb>4698656</fb>
    <v>8</v>
  </rv>
  <rv s="14">
    <v>#VALUE!</v>
    <v>en-US</v>
    <v>3ecec2e8-2993-42e7-7299-f693bbe3b9b9</v>
    <v>536870912</v>
    <v>1</v>
    <v>86</v>
    <v>87</v>
    <v>Sydney</v>
    <v>4</v>
    <v>5</v>
    <v>Map</v>
    <v>6</v>
    <v>88</v>
    <v>386</v>
    <v>387</v>
    <v>388</v>
    <v>Sydney is the capital city of the state of New South Wales, and the most populous city in Australia. Located on Australia's east coast, the metropolis surrounds Sydney Harbour and extends about 80 km from the Pacific Ocean in the east to the ...</v>
    <v>389</v>
    <v>390</v>
    <v>391</v>
    <v>392</v>
    <v>Sydney</v>
    <v>393</v>
    <v>Sydney</v>
    <v>mdp/vdpid/8878834554543013889</v>
  </rv>
  <rv s="1">
    <fb>0.48241944248714902</fb>
    <v>40</v>
  </rv>
  <rv s="1">
    <fb>7692024</fb>
    <v>8</v>
  </rv>
  <rv s="1">
    <fb>58000</fb>
    <v>8</v>
  </rv>
  <rv s="1">
    <fb>12.6</fb>
    <v>16</v>
  </rv>
  <rv s="1">
    <fb>61</fb>
    <v>41</v>
  </rv>
  <rv s="0">
    <v>536870912</v>
    <v>Canberra</v>
    <v>59ab58e3-2f00-9175-e7b8-76d910040855</v>
    <v>en-US</v>
    <v>Map</v>
  </rv>
  <rv s="1">
    <fb>375907.837</fb>
    <v>8</v>
  </rv>
  <rv s="1">
    <fb>119.797086368366</fb>
    <v>42</v>
  </rv>
  <rv s="1">
    <fb>1.61076787290379E-2</fb>
    <v>40</v>
  </rv>
  <rv s="1">
    <fb>10071.3989785006</fb>
    <v>8</v>
  </rv>
  <rv s="1">
    <fb>1.74</fb>
    <v>16</v>
  </rv>
  <rv s="1">
    <fb>0.16258278059599401</fb>
    <v>40</v>
  </rv>
  <rv s="1">
    <fb>89.625630110237395</fb>
    <v>43</v>
  </rv>
  <rv s="1">
    <fb>0.93</fb>
    <v>44</v>
  </rv>
  <rv s="1">
    <fb>1392680589329.1399</fb>
    <v>45</v>
  </rv>
  <rv s="1">
    <fb>1.0033898000000001</fb>
    <v>40</v>
  </rv>
  <rv s="1">
    <fb>1.1314216000000001</fb>
    <v>40</v>
  </rv>
  <rv s="2">
    <v>13</v>
    <v>6</v>
    <v>90</v>
    <v>7</v>
    <v>0</v>
    <v>Image of Australia</v>
  </rv>
  <rv s="1">
    <fb>3.1</fb>
    <v>43</v>
  </rv>
  <rv s="0">
    <v>805306368</v>
    <v>Anthony Albanese (Prime minister)</v>
    <v>00f8b947-2f64-9828-df4d-5993583bdbe4</v>
    <v>en-US</v>
    <v>Generic</v>
  </rv>
  <rv s="3">
    <v>28</v>
  </rv>
  <rv s="4">
    <v>https://www.bing.com/search?q=australia&amp;form=skydnc</v>
    <v>Learn more on Bing</v>
  </rv>
  <rv s="1">
    <fb>82.748780487804893</fb>
    <v>43</v>
  </rv>
  <rv s="1">
    <fb>1487598500000</fb>
    <v>45</v>
  </rv>
  <rv s="1">
    <fb>6</fb>
    <v>43</v>
  </rv>
  <rv s="1">
    <fb>13.59</fb>
    <v>44</v>
  </rv>
  <rv s="3">
    <v>29</v>
  </rv>
  <rv s="1">
    <fb>0.19558295019999999</fb>
    <v>40</v>
  </rv>
  <rv s="1">
    <fb>3.6778</fb>
    <v>16</v>
  </rv>
  <rv s="1">
    <fb>25978935</fb>
    <v>8</v>
  </rv>
  <rv s="1">
    <fb>0.221</fb>
    <v>40</v>
  </rv>
  <rv s="1">
    <fb>0.27</fb>
    <v>40</v>
  </rv>
  <rv s="1">
    <fb>0.42100000000000004</fb>
    <v>40</v>
  </rv>
  <rv s="1">
    <fb>2.7999999999999997E-2</fb>
    <v>40</v>
  </rv>
  <rv s="1">
    <fb>7.400000000000001E-2</fb>
    <v>40</v>
  </rv>
  <rv s="1">
    <fb>0.122</fb>
    <v>40</v>
  </rv>
  <rv s="1">
    <fb>0.161</fb>
    <v>40</v>
  </rv>
  <rv s="1">
    <fb>0.65517997741699208</fb>
    <v>40</v>
  </rv>
  <rv s="0">
    <v>536870912</v>
    <v>Australian Capital Territory</v>
    <v>c296eb2e-2c1a-16bf-bc37-164541ce7365</v>
    <v>en-US</v>
    <v>Map</v>
  </rv>
  <rv s="0">
    <v>536870912</v>
    <v>Northern Territory</v>
    <v>20947ace-4dd4-0516-21df-2af8da517b06</v>
    <v>en-US</v>
    <v>Map</v>
  </rv>
  <rv s="0">
    <v>536870912</v>
    <v>Queensland</v>
    <v>d8d1c6ea-bc68-82f2-5bb3-ae7aa11442b4</v>
    <v>en-US</v>
    <v>Map</v>
  </rv>
  <rv s="0">
    <v>536870912</v>
    <v>South Australia</v>
    <v>202994ba-49c2-98c5-91fa-e0b05ffcf2da</v>
    <v>en-US</v>
    <v>Map</v>
  </rv>
  <rv s="0">
    <v>536870912</v>
    <v>Tasmania</v>
    <v>8327961c-5e1c-9007-38cc-b90bc76e7bc3</v>
    <v>en-US</v>
    <v>Map</v>
  </rv>
  <rv s="0">
    <v>536870912</v>
    <v>Victoria</v>
    <v>afad25fd-4cbc-2e30-7764-19bd8a1cb1bc</v>
    <v>en-US</v>
    <v>Map</v>
  </rv>
  <rv s="0">
    <v>536870912</v>
    <v>Western Australia</v>
    <v>bf87c7cd-72cb-99af-809b-eb7577149dcd</v>
    <v>en-US</v>
    <v>Map</v>
  </rv>
  <rv s="0">
    <v>536870912</v>
    <v>Christmas Island</v>
    <v>66788ba9-2bf3-1a5c-abea-c2feb1989f85</v>
    <v>en-US</v>
    <v>Map</v>
  </rv>
  <rv s="0">
    <v>536870912</v>
    <v>Ashmore and Cartier Islands</v>
    <v>0cf3b96d-0c52-2057-50e3-f4d0baacc740</v>
    <v>en-US</v>
    <v>Map</v>
  </rv>
  <rv s="0">
    <v>536870912</v>
    <v>Cocos (Keeling) Islands</v>
    <v>02bce610-1981-8169-049c-5f416771ad7e</v>
    <v>en-US</v>
    <v>Map</v>
  </rv>
  <rv s="0">
    <v>536870912</v>
    <v>Coral Sea Islands</v>
    <v>12fcab3d-6815-b0bc-3cf7-b1396ef5cd47</v>
    <v>en-US</v>
    <v>Map</v>
  </rv>
  <rv s="0">
    <v>536870912</v>
    <v>Heard Island and McDonald Islands</v>
    <v>fb1ed011-1cc6-3fa2-760a-a9290a0bfc5d</v>
    <v>en-US</v>
    <v>Map</v>
  </rv>
  <rv s="0">
    <v>536870912</v>
    <v>Jervis Bay Territory</v>
    <v>e59341af-b7a6-b4f4-6a5d-590c58c94b7c</v>
    <v>en-US</v>
    <v>Map</v>
  </rv>
  <rv s="0">
    <v>536870912</v>
    <v>Norfolk Island</v>
    <v>edf78bdd-d272-9969-118f-522fd065d490</v>
    <v>en-US</v>
    <v>Map</v>
  </rv>
  <rv s="3">
    <v>30</v>
  </rv>
  <rv s="1">
    <fb>0.22985815296127299</fb>
    <v>40</v>
  </rv>
  <rv s="3">
    <v>31</v>
  </rv>
  <rv s="1">
    <fb>0.47399999999999998</fb>
    <v>40</v>
  </rv>
  <rv s="1">
    <fb>5.2680001258850098E-2</fb>
    <v>46</v>
  </rv>
  <rv s="1">
    <fb>21844756</fb>
    <v>8</v>
  </rv>
  <rv s="8">
    <v>#VALUE!</v>
    <v>en-US</v>
    <v>06de2191-243d-a83f-6990-2eb1c7f3382a</v>
    <v>536870912</v>
    <v>1</v>
    <v>93</v>
    <v>38</v>
    <v>Australia</v>
    <v>4</v>
    <v>5</v>
    <v>Map</v>
    <v>6</v>
    <v>94</v>
    <v>AU</v>
    <v>395</v>
    <v>396</v>
    <v>397</v>
    <v>398</v>
    <v>399</v>
    <v>400</v>
    <v>401</v>
    <v>402</v>
    <v>403</v>
    <v>AUD</v>
    <v>Australia, officially the Commonwealth of Australia, is a country comprising the mainland of the Australian continent, the island of Tasmania and numerous smaller islands. It has a total area of 7,688,287 km², making it the sixth-largest country ...</v>
    <v>404</v>
    <v>405</v>
    <v>406</v>
    <v>407</v>
    <v>408</v>
    <v>409</v>
    <v>410</v>
    <v>411</v>
    <v>412</v>
    <v>413</v>
    <v>385</v>
    <v>415</v>
    <v>416</v>
    <v>417</v>
    <v>418</v>
    <v>419</v>
    <v>420</v>
    <v>Australia</v>
    <v>Advance Australia Fair</v>
    <v>421</v>
    <v>Commonwealth of Australia</v>
    <v>422</v>
    <v>423</v>
    <v>424</v>
    <v>425</v>
    <v>426</v>
    <v>427</v>
    <v>428</v>
    <v>429</v>
    <v>430</v>
    <v>431</v>
    <v>432</v>
    <v>447</v>
    <v>448</v>
    <v>449</v>
    <v>450</v>
    <v>451</v>
    <v>Australia</v>
    <v>452</v>
    <v>mdp/vdpid/12</v>
  </rv>
  <rv s="1">
    <fb>471.78</fb>
    <v>8</v>
  </rv>
  <rv s="2">
    <v>14</v>
    <v>6</v>
    <v>95</v>
    <v>7</v>
    <v>0</v>
    <v>Image of Canberra</v>
  </rv>
  <rv s="1">
    <fb>-35.293055555556002</fb>
    <v>9</v>
  </rv>
  <rv s="4">
    <v>https://www.bing.com/search?q=canberra+australia&amp;form=skydnc</v>
    <v>Learn more on Bing</v>
  </rv>
  <rv s="1">
    <fb>149.12694444444</fb>
    <v>9</v>
  </rv>
  <rv s="1">
    <fb>466566</fb>
    <v>8</v>
  </rv>
  <rv s="3">
    <v>32</v>
  </rv>
  <rv s="15">
    <v>#VALUE!</v>
    <v>en-US</v>
    <v>59ab58e3-2f00-9175-e7b8-76d910040855</v>
    <v>536870912</v>
    <v>1</v>
    <v>96</v>
    <v>97</v>
    <v>Canberra</v>
    <v>4</v>
    <v>5</v>
    <v>Map</v>
    <v>6</v>
    <v>98</v>
    <v>433</v>
    <v>454</v>
    <v>388</v>
    <v>Canberra is the capital city of Australia. Founded following the federation of the colonies of Australia as the seat of government for the new nation, it is Australia's largest inland city, the most densely populated capital city, and the ...</v>
    <v>455</v>
    <v>456</v>
    <v>457</v>
    <v>458</v>
    <v>Canberra</v>
    <v>459</v>
    <v>460</v>
    <v>Canberra</v>
    <v>mdp/vdpid/8890957258934976513</v>
  </rv>
  <rv s="0">
    <v>536870912</v>
    <v>Rio de Janeiro</v>
    <v>bd69fe3d-bddf-02b9-aeb0-0384ff4b73dd</v>
    <v>en-US</v>
    <v>Map</v>
  </rv>
  <rv s="0">
    <v>536870912</v>
    <v>Rio de Janeiro</v>
    <v>3f5a22fa-26bd-86f9-0345-3a6206e8aab5</v>
    <v>en-US</v>
    <v>Map</v>
  </rv>
  <rv s="1">
    <fb>1260.029215</fb>
    <v>8</v>
  </rv>
  <rv s="0">
    <v>536870912</v>
    <v>Brazil</v>
    <v>a828cf41-b938-49fe-7986-4b336618d413</v>
    <v>en-US</v>
    <v>Map</v>
  </rv>
  <rv s="2">
    <v>15</v>
    <v>6</v>
    <v>99</v>
    <v>7</v>
    <v>0</v>
    <v>Image of Rio de Janeiro</v>
  </rv>
  <rv s="1">
    <fb>-22.911111111111101</fb>
    <v>9</v>
  </rv>
  <rv s="0">
    <v>805306368</v>
    <v>Eduardo Paes (Mayor)</v>
    <v>68456969-9342-dab0-4997-55a174c518c9</v>
    <v>en-US</v>
    <v>Generic</v>
  </rv>
  <rv s="3">
    <v>33</v>
  </rv>
  <rv s="4">
    <v>https://www.bing.com/search?q=rio+de+janeiro&amp;form=skydnc</v>
    <v>Learn more on Bing</v>
  </rv>
  <rv s="1">
    <fb>-43.205555555555598</fb>
    <v>9</v>
  </rv>
  <rv s="1">
    <fb>6211223</fb>
    <v>8</v>
  </rv>
  <rv s="3">
    <v>34</v>
  </rv>
  <rv s="12">
    <v>#VALUE!</v>
    <v>en-US</v>
    <v>bd69fe3d-bddf-02b9-aeb0-0384ff4b73dd</v>
    <v>536870912</v>
    <v>1</v>
    <v>100</v>
    <v>64</v>
    <v>Rio de Janeiro</v>
    <v>4</v>
    <v>5</v>
    <v>Map</v>
    <v>6</v>
    <v>7</v>
    <v>463</v>
    <v>464</v>
    <v>465</v>
    <v>Rio de Janeiro, or simply Rio, is the capital of the state of Rio de Janeiro. It is the second-most-populous city in Brazil and the sixth-most-populous city in the Americas. Founded in 1565 by the Portuguese, the city was initially the seat of ...</v>
    <v>466</v>
    <v>467</v>
    <v>469</v>
    <v>470</v>
    <v>471</v>
    <v>Rio de Janeiro</v>
    <v>472</v>
    <v>473</v>
    <v>Rio de Janeiro</v>
    <v>mdp/vdpid/6557396357261295617</v>
  </rv>
  <rv s="1">
    <fb>0.33924533448829503</fb>
    <v>40</v>
  </rv>
  <rv s="1">
    <fb>8515767</fb>
    <v>8</v>
  </rv>
  <rv s="1">
    <fb>730000</fb>
    <v>8</v>
  </rv>
  <rv s="1">
    <fb>13.923999999999999</fb>
    <v>16</v>
  </rv>
  <rv s="1">
    <fb>55</fb>
    <v>41</v>
  </rv>
  <rv s="0">
    <v>536870912</v>
    <v>Brasília</v>
    <v>0f4c1a26-f33c-b6de-a63f-578da6617369</v>
    <v>en-US</v>
    <v>Map</v>
  </rv>
  <rv s="1">
    <fb>462298.69</fb>
    <v>8</v>
  </rv>
  <rv s="1">
    <fb>167.397860280061</fb>
    <v>42</v>
  </rv>
  <rv s="1">
    <fb>3.7329762121689397E-2</fb>
    <v>40</v>
  </rv>
  <rv s="1">
    <fb>2619.96061573831</fb>
    <v>8</v>
  </rv>
  <rv s="1">
    <fb>1.73</fb>
    <v>16</v>
  </rv>
  <rv s="1">
    <fb>0.58931054038338704</fb>
    <v>40</v>
  </rv>
  <rv s="1">
    <fb>59.1075326389753</fb>
    <v>43</v>
  </rv>
  <rv s="1">
    <fb>1.02</fb>
    <v>44</v>
  </rv>
  <rv s="1">
    <fb>1839758040765.6201</fb>
    <v>45</v>
  </rv>
  <rv s="1">
    <fb>1.1544783999999999</fb>
    <v>40</v>
  </rv>
  <rv s="1">
    <fb>0.513436</fb>
    <v>40</v>
  </rv>
  <rv s="2">
    <v>16</v>
    <v>6</v>
    <v>102</v>
    <v>7</v>
    <v>0</v>
    <v>Image of Brazil</v>
  </rv>
  <rv s="1">
    <fb>12.8</fb>
    <v>43</v>
  </rv>
  <rv s="0">
    <v>536870912</v>
    <v>São Paulo</v>
    <v>c6cf2f6e-626c-4267-ae48-9e13ea74d2b9</v>
    <v>en-US</v>
    <v>Map</v>
  </rv>
  <rv s="0">
    <v>805306368</v>
    <v>Luiz Inácio Lula da Silva (President)</v>
    <v>d1dff6dd-e1d9-642a-4044-fc3f6765ae2b</v>
    <v>en-US</v>
    <v>Generic</v>
  </rv>
  <rv s="0">
    <v>805306368</v>
    <v>Geraldo Alckmin (Vice president)</v>
    <v>ea2c259d-ca87-ae96-81e3-8e0b97870fa3</v>
    <v>en-US</v>
    <v>Generic</v>
  </rv>
  <rv s="3">
    <v>35</v>
  </rv>
  <rv s="4">
    <v>https://www.bing.com/search?q=brazil&amp;form=skydnc</v>
    <v>Learn more on Bing</v>
  </rv>
  <rv s="1">
    <fb>75.671999999999997</fb>
    <v>43</v>
  </rv>
  <rv s="1">
    <fb>1187361690000</fb>
    <v>45</v>
  </rv>
  <rv s="1">
    <fb>60</fb>
    <v>43</v>
  </rv>
  <rv s="1">
    <fb>1.53</fb>
    <v>44</v>
  </rv>
  <rv s="3">
    <v>36</v>
  </rv>
  <rv s="1">
    <fb>0.28289823089999999</fb>
    <v>40</v>
  </rv>
  <rv s="1">
    <fb>2.1499000000000001</fb>
    <v>16</v>
  </rv>
  <rv s="1">
    <fb>215313498</fb>
    <v>8</v>
  </rv>
  <rv s="1">
    <fb>0.192</fb>
    <v>40</v>
  </rv>
  <rv s="1">
    <fb>0.42499999999999999</fb>
    <v>40</v>
  </rv>
  <rv s="1">
    <fb>0.58399999999999996</fb>
    <v>40</v>
  </rv>
  <rv s="1">
    <fb>0.01</fb>
    <v>40</v>
  </rv>
  <rv s="1">
    <fb>3.1E-2</fb>
    <v>40</v>
  </rv>
  <rv s="1">
    <fb>7.2999999999999995E-2</fb>
    <v>40</v>
  </rv>
  <rv s="1">
    <fb>0.12</fb>
    <v>40</v>
  </rv>
  <rv s="1">
    <fb>0.63883998870849601</fb>
    <v>40</v>
  </rv>
  <rv s="0">
    <v>536870912</v>
    <v>Acre</v>
    <v>8960bf27-5261-01d1-4019-e7d898f67bb4</v>
    <v>en-US</v>
    <v>Map</v>
  </rv>
  <rv s="0">
    <v>536870912</v>
    <v>Amapá</v>
    <v>28d39e09-4b9f-31f6-cc72-48b1f9be59db</v>
    <v>en-US</v>
    <v>Map</v>
  </rv>
  <rv s="0">
    <v>536870912</v>
    <v>Amazonas</v>
    <v>f79e57ca-6fc1-5a6a-015b-38d90f33902f</v>
    <v>en-US</v>
    <v>Map</v>
  </rv>
  <rv s="0">
    <v>536870912</v>
    <v>Pará</v>
    <v>7a0db70a-73db-e83d-e548-6fab7a523b35</v>
    <v>en-US</v>
    <v>Map</v>
  </rv>
  <rv s="0">
    <v>536870912</v>
    <v>Rondônia</v>
    <v>25fbe5d5-9bc1-0ec2-ac78-2d9fe5b147dd</v>
    <v>en-US</v>
    <v>Map</v>
  </rv>
  <rv s="0">
    <v>536870912</v>
    <v>Roraima</v>
    <v>3b8383a2-7c79-31f6-2359-bd9ba2099213</v>
    <v>en-US</v>
    <v>Map</v>
  </rv>
  <rv s="0">
    <v>536870912</v>
    <v>Tocantins</v>
    <v>f7a46dfe-e192-d6f7-e5f8-084e555ba7cb</v>
    <v>en-US</v>
    <v>Map</v>
  </rv>
  <rv s="0">
    <v>536870912</v>
    <v>Alagoas</v>
    <v>4e3f1ba4-1948-0514-728a-55b34ab027b4</v>
    <v>en-US</v>
    <v>Map</v>
  </rv>
  <rv s="0">
    <v>536870912</v>
    <v>Bahia</v>
    <v>e904684f-6d5b-f7bb-c27d-bdb50a0ec8ab</v>
    <v>en-US</v>
    <v>Map</v>
  </rv>
  <rv s="0">
    <v>536870912</v>
    <v>Ceará</v>
    <v>b598e20e-29fb-ccf6-be0e-2650e6ba40c5</v>
    <v>en-US</v>
    <v>Map</v>
  </rv>
  <rv s="0">
    <v>536870912</v>
    <v>Maranhão</v>
    <v>98274980-9da4-ff5e-78a1-e512bb4179ca</v>
    <v>en-US</v>
    <v>Map</v>
  </rv>
  <rv s="0">
    <v>536870912</v>
    <v>Paraíba</v>
    <v>f5be810b-3322-2252-c10f-35206d84b548</v>
    <v>en-US</v>
    <v>Map</v>
  </rv>
  <rv s="0">
    <v>536870912</v>
    <v>Pernambuco</v>
    <v>5538aab1-15ae-294f-2c10-f5083201cca1</v>
    <v>en-US</v>
    <v>Map</v>
  </rv>
  <rv s="0">
    <v>536870912</v>
    <v>Piauí</v>
    <v>ab11433a-8357-ae6d-67fe-8570cc271399</v>
    <v>en-US</v>
    <v>Map</v>
  </rv>
  <rv s="0">
    <v>536870912</v>
    <v>Rio Grande do Norte</v>
    <v>4cccb40d-d26b-4493-e031-bcf803f1c2b1</v>
    <v>en-US</v>
    <v>Map</v>
  </rv>
  <rv s="0">
    <v>536870912</v>
    <v>Sergipe</v>
    <v>a7f70762-a1ab-d5de-8bf0-3eb8532c1eb9</v>
    <v>en-US</v>
    <v>Map</v>
  </rv>
  <rv s="0">
    <v>536870912</v>
    <v>Goiás</v>
    <v>38750702-647a-b72a-2cec-e4a55e078f36</v>
    <v>en-US</v>
    <v>Map</v>
  </rv>
  <rv s="0">
    <v>536870912</v>
    <v>Mato Grosso</v>
    <v>af05c757-4d77-813e-b8eb-97635c07f37a</v>
    <v>en-US</v>
    <v>Map</v>
  </rv>
  <rv s="0">
    <v>536870912</v>
    <v>Mato Grosso do Sul</v>
    <v>7de24933-1d79-fc85-387b-3ce7947910b6</v>
    <v>en-US</v>
    <v>Map</v>
  </rv>
  <rv s="0">
    <v>536870912</v>
    <v>Espírito Santo</v>
    <v>dbc4d679-53e7-49d7-c6b3-88a4ca7f522f</v>
    <v>en-US</v>
    <v>Map</v>
  </rv>
  <rv s="0">
    <v>536870912</v>
    <v>Minas Gerais</v>
    <v>974e2066-dee0-aecd-c973-50babb750033</v>
    <v>en-US</v>
    <v>Map</v>
  </rv>
  <rv s="0">
    <v>536870912</v>
    <v>São Paulo</v>
    <v>4d56ae2d-1aad-8c4f-dca2-4456acc12f89</v>
    <v>en-US</v>
    <v>Map</v>
  </rv>
  <rv s="0">
    <v>536870912</v>
    <v>Paraná</v>
    <v>a33450c4-459a-0682-41ee-635b343dd785</v>
    <v>en-US</v>
    <v>Map</v>
  </rv>
  <rv s="0">
    <v>536870912</v>
    <v>Rio Grande do Sul</v>
    <v>9644dbbf-be0c-de9c-a534-3d7ff4801a8b</v>
    <v>en-US</v>
    <v>Map</v>
  </rv>
  <rv s="0">
    <v>536870912</v>
    <v>Santa Catarina</v>
    <v>6262969d-76c7-e65f-1be5-668011a93ff0</v>
    <v>en-US</v>
    <v>Map</v>
  </rv>
  <rv s="0">
    <v>536870912</v>
    <v>Federal District</v>
    <v>88dfc3b6-8e7a-694d-61b2-96d14f226ec4</v>
    <v>en-US</v>
    <v>Map</v>
  </rv>
  <rv s="3">
    <v>37</v>
  </rv>
  <rv s="1">
    <fb>0.14178605589771201</fb>
    <v>40</v>
  </rv>
  <rv s="3">
    <v>38</v>
  </rv>
  <rv s="1">
    <fb>0.65099999999999991</fb>
    <v>40</v>
  </rv>
  <rv s="1">
    <fb>0.12083000183105501</fb>
    <v>46</v>
  </rv>
  <rv s="1">
    <fb>183241641</fb>
    <v>8</v>
  </rv>
  <rv s="8">
    <v>#VALUE!</v>
    <v>en-US</v>
    <v>a828cf41-b938-49fe-7986-4b336618d413</v>
    <v>536870912</v>
    <v>1</v>
    <v>105</v>
    <v>38</v>
    <v>Brazil</v>
    <v>4</v>
    <v>5</v>
    <v>Map</v>
    <v>6</v>
    <v>106</v>
    <v>BR</v>
    <v>475</v>
    <v>476</v>
    <v>477</v>
    <v>478</v>
    <v>479</v>
    <v>480</v>
    <v>481</v>
    <v>482</v>
    <v>483</v>
    <v>BRL</v>
    <v>Brazil, officially the Federative Republic of Brazil, is the largest and easternmost country in South America. It is the world's fifth-largest country by area and the seventh largest by population, with over 212 million people. The country is a ...</v>
    <v>484</v>
    <v>485</v>
    <v>486</v>
    <v>487</v>
    <v>488</v>
    <v>489</v>
    <v>490</v>
    <v>491</v>
    <v>492</v>
    <v>493</v>
    <v>494</v>
    <v>497</v>
    <v>498</v>
    <v>499</v>
    <v>500</v>
    <v>501</v>
    <v>502</v>
    <v>Brazil</v>
    <v>Brazilian National Anthem</v>
    <v>503</v>
    <v>República Federativa do Brasil</v>
    <v>504</v>
    <v>505</v>
    <v>506</v>
    <v>507</v>
    <v>508</v>
    <v>509</v>
    <v>510</v>
    <v>511</v>
    <v>512</v>
    <v>513</v>
    <v>514</v>
    <v>541</v>
    <v>542</v>
    <v>543</v>
    <v>544</v>
    <v>545</v>
    <v>Brazil</v>
    <v>546</v>
    <v>mdp/vdpid/32</v>
  </rv>
  <rv s="1">
    <fb>5802</fb>
    <v>8</v>
  </rv>
  <rv s="2">
    <v>17</v>
    <v>6</v>
    <v>107</v>
    <v>7</v>
    <v>0</v>
    <v>Image of Brasília</v>
  </rv>
  <rv s="1">
    <fb>-15.793888888889001</fb>
    <v>9</v>
  </rv>
  <rv s="3">
    <v>39</v>
  </rv>
  <rv s="4">
    <v>https://www.bing.com/search?q=bras%c3%adlia&amp;form=skydnc</v>
    <v>Learn more on Bing</v>
  </rv>
  <rv s="1">
    <fb>-47.882777777778003</fb>
    <v>9</v>
  </rv>
  <rv s="1">
    <fb>2817381</fb>
    <v>8</v>
  </rv>
  <rv s="12">
    <v>#VALUE!</v>
    <v>en-US</v>
    <v>0f4c1a26-f33c-b6de-a63f-578da6617369</v>
    <v>536870912</v>
    <v>1</v>
    <v>108</v>
    <v>64</v>
    <v>Brasília</v>
    <v>4</v>
    <v>5</v>
    <v>Map</v>
    <v>6</v>
    <v>7</v>
    <v>540</v>
    <v>548</v>
    <v>465</v>
    <v>Brasília is the federal capital of Brazil and the seat of government of the Federal District. Located in the Brazilian highlands in the country's Central-West region, it was founded by President Juscelino Kubitschek on 21 April 1960, to replace ...</v>
    <v>549</v>
    <v>550</v>
    <v>551</v>
    <v>552</v>
    <v>553</v>
    <v>Brasília</v>
    <v>554</v>
    <v>473</v>
    <v>Brasília</v>
    <v>mdp/vdpid/6407970072035328001</v>
  </rv>
  <rv s="0">
    <v>536870912</v>
    <v>Amsterdam</v>
    <v>0b840501-8599-9528-5b22-13589caf205a</v>
    <v>en-US</v>
    <v>Map</v>
  </rv>
  <rv s="0">
    <v>536870912</v>
    <v>North Holland</v>
    <v>1cbd1d08-fab6-2da6-0edd-41aa626502c2</v>
    <v>en-US</v>
    <v>Map</v>
  </rv>
  <rv s="0">
    <v>536870912</v>
    <v>Amsterdam</v>
    <v>932643fc-35be-4e28-93fd-e26c5579eba3</v>
    <v>en-US</v>
    <v>Map</v>
  </rv>
  <rv s="1">
    <fb>219</fb>
    <v>8</v>
  </rv>
  <rv s="0">
    <v>536870912</v>
    <v>Dutch Republic</v>
    <v>2746288d-527e-de36-876d-a7386efcc2df</v>
    <v>en-US</v>
    <v>Map</v>
  </rv>
  <rv s="2">
    <v>18</v>
    <v>6</v>
    <v>109</v>
    <v>7</v>
    <v>0</v>
    <v>Image of Amsterdam</v>
  </rv>
  <rv s="1">
    <fb>52.372777777777799</fb>
    <v>9</v>
  </rv>
  <rv s="0">
    <v>805306368</v>
    <v>Femke Halsema (Mayor)</v>
    <v>559283ff-2e7e-6d20-ef0a-8903e2f919f1</v>
    <v>en-US</v>
    <v>Generic</v>
  </rv>
  <rv s="3">
    <v>40</v>
  </rv>
  <rv s="4">
    <v>https://www.bing.com/search?q=amsterdam&amp;form=skydnc</v>
    <v>Learn more on Bing</v>
  </rv>
  <rv s="1">
    <fb>4.8936111111111096</fb>
    <v>9</v>
  </rv>
  <rv s="1">
    <fb>921468</fb>
    <v>8</v>
  </rv>
  <rv s="3">
    <v>41</v>
  </rv>
  <rv s="5">
    <v>#VALUE!</v>
    <v>en-US</v>
    <v>0b840501-8599-9528-5b22-13589caf205a</v>
    <v>536870912</v>
    <v>1</v>
    <v>110</v>
    <v>2</v>
    <v>Amsterdam</v>
    <v>4</v>
    <v>5</v>
    <v>Map</v>
    <v>6</v>
    <v>98</v>
    <v>557</v>
    <v>558</v>
    <v>559</v>
    <v>560</v>
    <v>Amsterdam is the capital and most populated city of the Netherlands. It has a population of 933,680 in June 2024 within the city proper, 1,457,018 in the urban area and 2,480,394 in the metropolitan area. Located in the Dutch province of North ...</v>
    <v>561</v>
    <v>562</v>
    <v>564</v>
    <v>565</v>
    <v>566</v>
    <v>Amsterdam</v>
    <v>567</v>
    <v>568</v>
    <v>Amsterdam</v>
    <v>mdp/vdpid/7009530453665251330</v>
  </rv>
  <rv s="0">
    <v>536870912</v>
    <v>Dubai</v>
    <v>be495e21-8e36-a64d-d87a-350ba05996eb</v>
    <v>en-US</v>
    <v>Map</v>
  </rv>
  <rv s="1">
    <fb>35</fb>
    <v>8</v>
  </rv>
  <rv s="0">
    <v>536870912</v>
    <v>United Arab Emirates</v>
    <v>254a2621-4625-0f85-0b9d-13e4e75e5c9b</v>
    <v>en-US</v>
    <v>Map</v>
  </rv>
  <rv s="2">
    <v>19</v>
    <v>6</v>
    <v>111</v>
    <v>7</v>
    <v>0</v>
    <v>Image of Dubai</v>
  </rv>
  <rv s="4">
    <v>https://www.bing.com/search?q=dubai&amp;form=skydnc</v>
    <v>Learn more on Bing</v>
  </rv>
  <rv s="3">
    <v>42</v>
  </rv>
  <rv s="1">
    <fb>3790000</fb>
    <v>8</v>
  </rv>
  <rv s="3">
    <v>43</v>
  </rv>
  <rv s="16">
    <v>#VALUE!</v>
    <v>en-US</v>
    <v>be495e21-8e36-a64d-d87a-350ba05996eb</v>
    <v>536870912</v>
    <v>1</v>
    <v>113</v>
    <v>114</v>
    <v>Dubai</v>
    <v>4</v>
    <v>5</v>
    <v>Map</v>
    <v>6</v>
    <v>69</v>
    <v>AE-DU</v>
    <v>571</v>
    <v>572</v>
    <v>Dubai is the most populous city in the United Arab Emirates and the capital of the Emirate of Dubai, the most populous of the country's seven emirates. As of 2024, the city has a population of around 3.79 million, more than 90% of which are ...</v>
    <v>573</v>
    <v>574</v>
    <v>Dubai</v>
    <v>575</v>
    <v>576</v>
    <v>577</v>
    <v>Dubai</v>
    <v>mdp/vdpid/7376477268119388161</v>
  </rv>
  <rv s="0">
    <v>536870912</v>
    <v>Cancún</v>
    <v>f5106a5a-2c36-727c-cd65-16ed42559291</v>
    <v>en-US</v>
    <v>Map</v>
  </rv>
  <rv s="0">
    <v>536870912</v>
    <v>Benito Juárez Municipality, Quintana Roo</v>
    <v>f39350b8-69c3-43eb-9cac-bdb8c7069f2a</v>
    <v>en-US</v>
    <v>Map</v>
  </rv>
  <rv s="1">
    <fb>1978.75</fb>
    <v>8</v>
  </rv>
  <rv s="0">
    <v>536870912</v>
    <v>Mexico</v>
    <v>8e475659-4bdc-d912-6494-affce0096bc1</v>
    <v>en-US</v>
    <v>Map</v>
  </rv>
  <rv s="2">
    <v>20</v>
    <v>6</v>
    <v>116</v>
    <v>7</v>
    <v>0</v>
    <v>Image of Cancún</v>
  </rv>
  <rv s="1">
    <fb>21.161416111111102</fb>
    <v>9</v>
  </rv>
  <rv s="0">
    <v>805306368</v>
    <v>Ana Patricia Peralta de la Peña (Mayor)</v>
    <v>ed04d007-fe3c-548b-c8f1-1a0a35246946</v>
    <v>en-US</v>
    <v>Generic</v>
  </rv>
  <rv s="3">
    <v>44</v>
  </rv>
  <rv s="4">
    <v>https://www.bing.com/search?q=canc%c3%ban&amp;form=skydnc</v>
    <v>Learn more on Bing</v>
  </rv>
  <rv s="1">
    <fb>-86.824811111111103</fb>
    <v>9</v>
  </rv>
  <rv s="1">
    <fb>628306</fb>
    <v>8</v>
  </rv>
  <rv s="3">
    <v>45</v>
  </rv>
  <rv s="5">
    <v>#VALUE!</v>
    <v>en-US</v>
    <v>f5106a5a-2c36-727c-cd65-16ed42559291</v>
    <v>536870912</v>
    <v>1</v>
    <v>117</v>
    <v>2</v>
    <v>Cancún</v>
    <v>4</v>
    <v>5</v>
    <v>Map</v>
    <v>6</v>
    <v>20</v>
    <v>580</v>
    <v>580</v>
    <v>581</v>
    <v>582</v>
    <v>Cancún is the most populous city in the Mexican state of Quintana Roo, located in southeast Mexico on the northeast coast of the Yucatán Peninsula. It is a significant tourist destination in Mexico and the seat of the municipality of Benito ...</v>
    <v>583</v>
    <v>584</v>
    <v>586</v>
    <v>587</v>
    <v>588</v>
    <v>Cancún</v>
    <v>589</v>
    <v>590</v>
    <v>Cancún</v>
    <v>mdp/vdpid/5549099978892247042</v>
  </rv>
  <rv s="1">
    <fb>0.54649553743666202</fb>
    <v>40</v>
  </rv>
  <rv s="1">
    <fb>1972550</fb>
    <v>8</v>
  </rv>
  <rv s="1">
    <fb>336000</fb>
    <v>8</v>
  </rv>
  <rv s="1">
    <fb>17.602</fb>
    <v>16</v>
  </rv>
  <rv s="1">
    <fb>52</fb>
    <v>41</v>
  </rv>
  <rv s="0">
    <v>536870912</v>
    <v>Mexico City</v>
    <v>f1281260-8340-e258-c8ec-3522504400e5</v>
    <v>en-US</v>
    <v>Map</v>
  </rv>
  <rv s="1">
    <fb>486405.54800000001</fb>
    <v>8</v>
  </rv>
  <rv s="1">
    <fb>141.54252296997399</fb>
    <v>42</v>
  </rv>
  <rv s="1">
    <fb>3.6359614212704998E-2</fb>
    <v>40</v>
  </rv>
  <rv s="1">
    <fb>2157.32394883914</fb>
    <v>8</v>
  </rv>
  <rv s="1">
    <fb>2.129</fb>
    <v>16</v>
  </rv>
  <rv s="1">
    <fb>0.339249458255099</fb>
    <v>40</v>
  </rv>
  <rv s="1">
    <fb>90.426207910940704</fb>
    <v>43</v>
  </rv>
  <rv s="1">
    <fb>0.73</fb>
    <v>44</v>
  </rv>
  <rv s="1">
    <fb>1258286717124.53</fb>
    <v>45</v>
  </rv>
  <rv s="1">
    <fb>1.0577000999999999</fb>
    <v>40</v>
  </rv>
  <rv s="1">
    <fb>0.40228960000000002</fb>
    <v>40</v>
  </rv>
  <rv s="2">
    <v>21</v>
    <v>6</v>
    <v>119</v>
    <v>7</v>
    <v>0</v>
    <v>Image of Mexico</v>
  </rv>
  <rv s="1">
    <fb>11</fb>
    <v>43</v>
  </rv>
  <rv s="0">
    <v>805306368</v>
    <v>Claudia Sheinbaum (President)</v>
    <v>d0490c30-2b7a-cbfd-f6ed-dffdff40aeb0</v>
    <v>en-US</v>
    <v>Generic</v>
  </rv>
  <rv s="0">
    <v>805306368</v>
    <v>Norma Lucía Piña Hernández (Chief justice)</v>
    <v>c6ded009-db4d-d436-ada5-514c16278dd4</v>
    <v>en-US</v>
    <v>Generic</v>
  </rv>
  <rv s="3">
    <v>46</v>
  </rv>
  <rv s="4">
    <v>https://www.bing.com/search?q=mexico&amp;form=skydnc</v>
    <v>Learn more on Bing</v>
  </rv>
  <rv s="1">
    <fb>74.992000000000004</fb>
    <v>43</v>
  </rv>
  <rv s="1">
    <fb>413618820000</fb>
    <v>45</v>
  </rv>
  <rv s="1">
    <fb>33</fb>
    <v>43</v>
  </rv>
  <rv s="1">
    <fb>0.49</fb>
    <v>44</v>
  </rv>
  <rv s="3">
    <v>47</v>
  </rv>
  <rv s="1">
    <fb>0.41370018680000004</fb>
    <v>40</v>
  </rv>
  <rv s="1">
    <fb>2.3826999999999998</fb>
    <v>16</v>
  </rv>
  <rv s="1">
    <fb>127504125</fb>
    <v>8</v>
  </rv>
  <rv s="1">
    <fb>0.2</fb>
    <v>40</v>
  </rv>
  <rv s="1">
    <fb>0.36399999999999999</fb>
    <v>40</v>
  </rv>
  <rv s="1">
    <fb>0.51700000000000002</fb>
    <v>40</v>
  </rv>
  <rv s="1">
    <fb>0.02</fb>
    <v>40</v>
  </rv>
  <rv s="1">
    <fb>5.4000000000000006E-2</fb>
    <v>40</v>
  </rv>
  <rv s="1">
    <fb>9.5000000000000001E-2</fb>
    <v>40</v>
  </rv>
  <rv s="1">
    <fb>0.13500000000000001</fb>
    <v>40</v>
  </rv>
  <rv s="1">
    <fb>0.60680000305175807</fb>
    <v>40</v>
  </rv>
  <rv s="0">
    <v>536870912</v>
    <v>Aguascalientes</v>
    <v>7f39db16-d0e9-f4ba-b929-2a69336bbcb0</v>
    <v>en-US</v>
    <v>Map</v>
  </rv>
  <rv s="0">
    <v>536870912</v>
    <v>Baja California</v>
    <v>6b504587-24aa-0512-9ca8-180f7fa0f586</v>
    <v>en-US</v>
    <v>Map</v>
  </rv>
  <rv s="0">
    <v>536870912</v>
    <v>Baja California Sur</v>
    <v>72f2373c-402d-1899-776e-ebde71dada5d</v>
    <v>en-US</v>
    <v>Map</v>
  </rv>
  <rv s="0">
    <v>536870912</v>
    <v>Campeche</v>
    <v>7c67b06b-20b4-3244-d633-4a6255df7395</v>
    <v>en-US</v>
    <v>Map</v>
  </rv>
  <rv s="0">
    <v>536870912</v>
    <v>Chiapas</v>
    <v>f0d5e228-a3c3-8699-7df3-32ab85b078b3</v>
    <v>en-US</v>
    <v>Map</v>
  </rv>
  <rv s="0">
    <v>536870912</v>
    <v>Chihuahua</v>
    <v>ce5a5e29-7bae-05e8-fec7-e028f5c1e139</v>
    <v>en-US</v>
    <v>Map</v>
  </rv>
  <rv s="0">
    <v>536870912</v>
    <v>Coahuila</v>
    <v>b1fb0720-5dff-3cd3-aa9b-e91c0988b9f4</v>
    <v>en-US</v>
    <v>Map</v>
  </rv>
  <rv s="0">
    <v>536870912</v>
    <v>Colima</v>
    <v>c5187e51-1440-155f-505d-5c7804e1489f</v>
    <v>en-US</v>
    <v>Map</v>
  </rv>
  <rv s="0">
    <v>536870912</v>
    <v>Durango</v>
    <v>d5a4a060-173a-aa5a-3023-abf4cbc2f03d</v>
    <v>en-US</v>
    <v>Map</v>
  </rv>
  <rv s="0">
    <v>536870912</v>
    <v>Guanajuato</v>
    <v>9eaf00cd-2b5c-3655-adbc-dc91f1f0fca3</v>
    <v>en-US</v>
    <v>Map</v>
  </rv>
  <rv s="0">
    <v>536870912</v>
    <v>Guerrero</v>
    <v>86638283-e8d0-0d69-1241-dc688f82149b</v>
    <v>en-US</v>
    <v>Map</v>
  </rv>
  <rv s="0">
    <v>536870912</v>
    <v>Hidalgo</v>
    <v>76baa939-e01a-077d-0c83-522220d05a5b</v>
    <v>en-US</v>
    <v>Map</v>
  </rv>
  <rv s="0">
    <v>536870912</v>
    <v>Jalisco</v>
    <v>18c29bf9-bbf0-e90f-10f3-c48c9791339b</v>
    <v>en-US</v>
    <v>Map</v>
  </rv>
  <rv s="0">
    <v>536870912</v>
    <v>State of Mexico</v>
    <v>884c2c6c-6f06-85ee-aa8d-65b8980f2231</v>
    <v>en-US</v>
    <v>Map</v>
  </rv>
  <rv s="0">
    <v>536870912</v>
    <v>Michoacán</v>
    <v>33ec3160-5b7b-5fef-defd-4574b6b819d6</v>
    <v>en-US</v>
    <v>Map</v>
  </rv>
  <rv s="0">
    <v>536870912</v>
    <v>Morelos</v>
    <v>457cd12b-12ce-71c2-81d5-f60ba9645b36</v>
    <v>en-US</v>
    <v>Map</v>
  </rv>
  <rv s="0">
    <v>536870912</v>
    <v>Nayarit</v>
    <v>d5ab8703-9922-20b7-03c7-acb17f76b03e</v>
    <v>en-US</v>
    <v>Map</v>
  </rv>
  <rv s="0">
    <v>536870912</v>
    <v>Nuevo León</v>
    <v>1696b325-bf35-b9aa-28db-3304c1996498</v>
    <v>en-US</v>
    <v>Map</v>
  </rv>
  <rv s="0">
    <v>536870912</v>
    <v>Oaxaca</v>
    <v>2a651e2b-4cd2-6315-971b-6bddb30dfb4d</v>
    <v>en-US</v>
    <v>Map</v>
  </rv>
  <rv s="0">
    <v>536870912</v>
    <v>Puebla</v>
    <v>e266f3f0-af5e-7537-36e1-118cfcc783a3</v>
    <v>en-US</v>
    <v>Map</v>
  </rv>
  <rv s="0">
    <v>536870912</v>
    <v>Querétaro</v>
    <v>4a2d4179-0f55-70d5-99e7-165b2289a273</v>
    <v>en-US</v>
    <v>Map</v>
  </rv>
  <rv s="0">
    <v>536870912</v>
    <v>Quintana Roo</v>
    <v>96bcffec-8d1c-5e86-ab0e-e31d5b9a157c</v>
    <v>en-US</v>
    <v>Map</v>
  </rv>
  <rv s="0">
    <v>536870912</v>
    <v>San Luis Potosí</v>
    <v>c228dff2-2024-525b-1b90-fe82a2f5ccfc</v>
    <v>en-US</v>
    <v>Map</v>
  </rv>
  <rv s="0">
    <v>536870912</v>
    <v>Sinaloa</v>
    <v>ef7dcafc-cca2-39b2-e063-e2bbf5b2022e</v>
    <v>en-US</v>
    <v>Map</v>
  </rv>
  <rv s="0">
    <v>536870912</v>
    <v>Sonora</v>
    <v>e59e4f16-5e42-af6e-b970-e0ae59046077</v>
    <v>en-US</v>
    <v>Map</v>
  </rv>
  <rv s="0">
    <v>536870912</v>
    <v>Tabasco</v>
    <v>f96880d9-0a36-58d3-7351-a4c7070c642d</v>
    <v>en-US</v>
    <v>Map</v>
  </rv>
  <rv s="0">
    <v>536870912</v>
    <v>Tamaulipas</v>
    <v>6f2fce2f-2090-8583-dbf3-dd9d6fc3cab3</v>
    <v>en-US</v>
    <v>Map</v>
  </rv>
  <rv s="0">
    <v>536870912</v>
    <v>Tlaxcala</v>
    <v>77063c53-3a0e-fbf0-30d8-68218fbc38fa</v>
    <v>en-US</v>
    <v>Map</v>
  </rv>
  <rv s="0">
    <v>536870912</v>
    <v>Veracruz</v>
    <v>10381f79-264a-f2fd-08f8-cc5377683832</v>
    <v>en-US</v>
    <v>Map</v>
  </rv>
  <rv s="0">
    <v>536870912</v>
    <v>Yucatán</v>
    <v>f096e19b-5b56-f73a-3e33-e3f03e33fffc</v>
    <v>en-US</v>
    <v>Map</v>
  </rv>
  <rv s="0">
    <v>536870912</v>
    <v>Zacatecas</v>
    <v>135a47e4-6f2c-2112-febf-50c21b485bd3</v>
    <v>en-US</v>
    <v>Map</v>
  </rv>
  <rv s="3">
    <v>48</v>
  </rv>
  <rv s="1">
    <fb>0.130829255322402</fb>
    <v>40</v>
  </rv>
  <rv s="3">
    <v>49</v>
  </rv>
  <rv s="1">
    <fb>0.55100000000000005</fb>
    <v>40</v>
  </rv>
  <rv s="1">
    <fb>3.4249999523162801E-2</fb>
    <v>46</v>
  </rv>
  <rv s="1">
    <fb>102626859</fb>
    <v>8</v>
  </rv>
  <rv s="8">
    <v>#VALUE!</v>
    <v>en-US</v>
    <v>8e475659-4bdc-d912-6494-affce0096bc1</v>
    <v>536870912</v>
    <v>1</v>
    <v>122</v>
    <v>38</v>
    <v>Mexico</v>
    <v>4</v>
    <v>5</v>
    <v>Map</v>
    <v>6</v>
    <v>123</v>
    <v>MX</v>
    <v>592</v>
    <v>593</v>
    <v>594</v>
    <v>595</v>
    <v>596</v>
    <v>597</v>
    <v>598</v>
    <v>599</v>
    <v>600</v>
    <v>MXN</v>
    <v>Mexico, officially the United Mexican States, is a country in North America. It borders the United States to the north, and Guatemala and Belize to the southeast; while having maritime boundaries with the Pacific Ocean to the west, the Caribbean ...</v>
    <v>601</v>
    <v>602</v>
    <v>603</v>
    <v>604</v>
    <v>605</v>
    <v>606</v>
    <v>607</v>
    <v>608</v>
    <v>609</v>
    <v>610</v>
    <v>597</v>
    <v>613</v>
    <v>614</v>
    <v>615</v>
    <v>616</v>
    <v>617</v>
    <v>618</v>
    <v>Mexico</v>
    <v>Himno Nacional Mexicano</v>
    <v>619</v>
    <v>Estaos Xuníos Mexicanos</v>
    <v>620</v>
    <v>621</v>
    <v>622</v>
    <v>623</v>
    <v>624</v>
    <v>625</v>
    <v>626</v>
    <v>627</v>
    <v>628</v>
    <v>629</v>
    <v>630</v>
    <v>662</v>
    <v>663</v>
    <v>664</v>
    <v>665</v>
    <v>666</v>
    <v>Mexico</v>
    <v>667</v>
    <v>mdp/vdpid/166</v>
  </rv>
  <rv s="1">
    <fb>1485</fb>
    <v>8</v>
  </rv>
  <rv s="1">
    <fb>2714955</fb>
    <v>8</v>
  </rv>
  <rv s="2">
    <v>22</v>
    <v>6</v>
    <v>124</v>
    <v>7</v>
    <v>0</v>
    <v>Image of Mexico City</v>
  </rv>
  <rv s="0">
    <v>805306368</v>
    <v>Martí Batres (Mayor)</v>
    <v>5a622f9e-7cc9-58c5-fba0-05c932da0c1b</v>
    <v>en-US</v>
    <v>Generic</v>
  </rv>
  <rv s="3">
    <v>50</v>
  </rv>
  <rv s="4">
    <v>https://www.bing.com/search?q=mexico+city&amp;form=skydnc</v>
    <v>Learn more on Bing</v>
  </rv>
  <rv s="1">
    <fb>9209944</fb>
    <v>8</v>
  </rv>
  <rv s="3">
    <v>51</v>
  </rv>
  <rv s="17">
    <v>#VALUE!</v>
    <v>en-US</v>
    <v>f1281260-8340-e258-c8ec-3522504400e5</v>
    <v>536870912</v>
    <v>1</v>
    <v>127</v>
    <v>128</v>
    <v>Mexico City</v>
    <v>4</v>
    <v>5</v>
    <v>Map</v>
    <v>6</v>
    <v>129</v>
    <v>MX-CMX</v>
    <v>669</v>
    <v>582</v>
    <v>Mexico City is the capital and largest city of Mexico, and is also North America's most populous city. It is one of the most important cultural and financial centers in the world. Mexico City is located in the Valley of Mexico within the high ...</v>
    <v>670</v>
    <v>671</v>
    <v>673</v>
    <v>674</v>
    <v>Mexico City</v>
    <v>675</v>
    <v>676</v>
    <v>Mexico City</v>
    <v>mdp/vdpid/5162431768069931014</v>
  </rv>
  <rv s="0">
    <v>536870912</v>
    <v>Barcelona</v>
    <v>d5173d0d-188f-c557-d46a-fbf1f89f03ce</v>
    <v>en-US</v>
    <v>Map</v>
  </rv>
  <rv s="0">
    <v>536870912</v>
    <v>Barcelona Province</v>
    <v>b2a3ae51-9710-d8d5-f226-e01e09478534</v>
    <v>en-US</v>
    <v>Map</v>
  </rv>
  <rv s="1">
    <fb>101.3</fb>
    <v>8</v>
  </rv>
  <rv s="0">
    <v>536870912</v>
    <v>Spain</v>
    <v>1baf9d59-f443-e9f4-6e49-de048a073e3f</v>
    <v>en-US</v>
    <v>Map</v>
  </rv>
  <rv s="2">
    <v>23</v>
    <v>6</v>
    <v>130</v>
    <v>7</v>
    <v>0</v>
    <v>Image of Barcelona</v>
  </rv>
  <rv s="1">
    <fb>41.3825</fb>
    <v>9</v>
  </rv>
  <rv s="0">
    <v>805306368</v>
    <v>Jaume Collboni (Mayor)</v>
    <v>fb505805-3540-2bdd-59af-416cc66976e3</v>
    <v>en-US</v>
    <v>Generic</v>
  </rv>
  <rv s="3">
    <v>52</v>
  </rv>
  <rv s="4">
    <v>https://www.bing.com/search?q=barcelona&amp;form=skydnc</v>
    <v>Learn more on Bing</v>
  </rv>
  <rv s="1">
    <fb>2.1769444444444002</fb>
    <v>9</v>
  </rv>
  <rv s="1">
    <fb>1660122</fb>
    <v>8</v>
  </rv>
  <rv s="11">
    <v>#VALUE!</v>
    <v>en-US</v>
    <v>d5173d0d-188f-c557-d46a-fbf1f89f03ce</v>
    <v>536870912</v>
    <v>1</v>
    <v>131</v>
    <v>60</v>
    <v>Barcelona</v>
    <v>4</v>
    <v>5</v>
    <v>Map</v>
    <v>6</v>
    <v>98</v>
    <v>679</v>
    <v>680</v>
    <v>681</v>
    <v>Barcelona is a city on the northeastern coast of Spain. It is the capital and largest city of the autonomous community of Catalonia, as well as the second-most populous municipality of Spain. With a population of 1.6 million within city limits, ...</v>
    <v>682</v>
    <v>683</v>
    <v>685</v>
    <v>686</v>
    <v>687</v>
    <v>Barcelona</v>
    <v>688</v>
    <v>Barcelona</v>
    <v>mdp/vdpid/7207108388495294465</v>
  </rv>
  <rv s="1">
    <fb>0.52577247440306896</fb>
    <v>40</v>
  </rv>
  <rv s="1">
    <fb>505990</fb>
    <v>8</v>
  </rv>
  <rv s="1">
    <fb>196000</fb>
    <v>8</v>
  </rv>
  <rv s="1">
    <fb>7.9</fb>
    <v>16</v>
  </rv>
  <rv s="1">
    <fb>34</fb>
    <v>41</v>
  </rv>
  <rv s="0">
    <v>536870912</v>
    <v>Madrid</v>
    <v>a497c067-c4c6-4bf4-9a5d-34fd30589bda</v>
    <v>en-US</v>
    <v>Map</v>
  </rv>
  <rv s="1">
    <fb>244002.18</fb>
    <v>8</v>
  </rv>
  <rv s="1">
    <fb>110.96151904206</fb>
    <v>42</v>
  </rv>
  <rv s="1">
    <fb>6.9953624171701497E-3</fb>
    <v>40</v>
  </rv>
  <rv s="1">
    <fb>5355.9870055822103</fb>
    <v>8</v>
  </rv>
  <rv s="1">
    <fb>1.26</fb>
    <v>16</v>
  </rv>
  <rv s="1">
    <fb>0.36936209528965797</fb>
    <v>40</v>
  </rv>
  <rv s="1">
    <fb>72.955546118337793</fb>
    <v>43</v>
  </rv>
  <rv s="1">
    <fb>1.26</fb>
    <v>44</v>
  </rv>
  <rv s="1">
    <fb>1394116310768.6299</fb>
    <v>45</v>
  </rv>
  <rv s="1">
    <fb>1.0271029</fb>
    <v>40</v>
  </rv>
  <rv s="1">
    <fb>0.88853009999999999</fb>
    <v>40</v>
  </rv>
  <rv s="2">
    <v>24</v>
    <v>6</v>
    <v>133</v>
    <v>7</v>
    <v>0</v>
    <v>Image of Spain</v>
  </rv>
  <rv s="1">
    <fb>2.5</fb>
    <v>43</v>
  </rv>
  <rv s="0">
    <v>805306368</v>
    <v>Felipe VI (Monarch)</v>
    <v>ec86fb82-ddbc-286a-d1a7-3644682c1efc</v>
    <v>en-US</v>
    <v>Generic</v>
  </rv>
  <rv s="0">
    <v>805306368</v>
    <v>Pedro Sánchez (Prime minister)</v>
    <v>9e0d6cf3-f466-7b6f-0a92-aa23020fc120</v>
    <v>en-US</v>
    <v>Generic</v>
  </rv>
  <rv s="3">
    <v>53</v>
  </rv>
  <rv s="4">
    <v>https://www.bing.com/search?q=spain&amp;form=skydnc</v>
    <v>Learn more on Bing</v>
  </rv>
  <rv s="1">
    <fb>83.334146341463395</fb>
    <v>43</v>
  </rv>
  <rv s="1">
    <fb>797285840000</fb>
    <v>45</v>
  </rv>
  <rv s="1">
    <fb>4</fb>
    <v>43</v>
  </rv>
  <rv s="1">
    <fb>5.6</fb>
    <v>44</v>
  </rv>
  <rv s="3">
    <v>54</v>
  </rv>
  <rv s="1">
    <fb>0.24229018520000001</fb>
    <v>40</v>
  </rv>
  <rv s="1">
    <fb>3.8723000000000001</fb>
    <v>16</v>
  </rv>
  <rv s="1">
    <fb>47615034</fb>
    <v>8</v>
  </rv>
  <rv s="1">
    <fb>0.23399999999999999</fb>
    <v>40</v>
  </rv>
  <rv s="1">
    <fb>0.254</fb>
    <v>40</v>
  </rv>
  <rv s="1">
    <fb>0.41</fb>
    <v>40</v>
  </rv>
  <rv s="1">
    <fb>2.1000000000000001E-2</fb>
    <v>40</v>
  </rv>
  <rv s="1">
    <fb>6.2E-2</fb>
    <v>40</v>
  </rv>
  <rv s="1">
    <fb>0.17199999999999999</fb>
    <v>40</v>
  </rv>
  <rv s="1">
    <fb>0.57492000579834002</fb>
    <v>40</v>
  </rv>
  <rv s="0">
    <v>536870912</v>
    <v>Andalusia</v>
    <v>b009454b-b921-1477-fbf3-ea4c66d409b5</v>
    <v>en-US</v>
    <v>Map</v>
  </rv>
  <rv s="0">
    <v>536870912</v>
    <v>Catalonia</v>
    <v>54afd4ed-d6c4-c6c9-2f8d-10440795b196</v>
    <v>en-US</v>
    <v>Map</v>
  </rv>
  <rv s="0">
    <v>536870912</v>
    <v>Community of Madrid</v>
    <v>854c08ed-f6d7-c812-1a3f-46928ae0597e</v>
    <v>en-US</v>
    <v>Map</v>
  </rv>
  <rv s="0">
    <v>536870912</v>
    <v>Valencian Community</v>
    <v>d1a45f13-aca9-6854-cb23-92573a279216</v>
    <v>en-US</v>
    <v>Map</v>
  </rv>
  <rv s="0">
    <v>536870912</v>
    <v>Galicia</v>
    <v>70c91f08-f55c-f98a-047e-aa9228ed4253</v>
    <v>en-US</v>
    <v>Map</v>
  </rv>
  <rv s="0">
    <v>536870912</v>
    <v>Castile and León</v>
    <v>7fc8f34d-7f31-b8c6-34d4-545cb3920adf</v>
    <v>en-US</v>
    <v>Map</v>
  </rv>
  <rv s="0">
    <v>536870912</v>
    <v>Basque Country</v>
    <v>27cbb013-d521-0f66-7c87-67bad92e92f5</v>
    <v>en-US</v>
    <v>Map</v>
  </rv>
  <rv s="0">
    <v>536870912</v>
    <v>Canary Islands</v>
    <v>e5f4f633-d27e-9012-be27-a85d7ed21999</v>
    <v>en-US</v>
    <v>Map</v>
  </rv>
  <rv s="0">
    <v>536870912</v>
    <v>Castilla–La Mancha</v>
    <v>1e79c598-5619-e707-75d9-40410db3c0b2</v>
    <v>en-US</v>
    <v>Map</v>
  </rv>
  <rv s="0">
    <v>536870912</v>
    <v>Region of Murcia</v>
    <v>e697a468-5c9d-9a42-68ac-b04781a55abd</v>
    <v>en-US</v>
    <v>Map</v>
  </rv>
  <rv s="0">
    <v>536870912</v>
    <v>Aragon</v>
    <v>66482df7-7a8d-eb53-1b74-7702eb8f6ab7</v>
    <v>en-US</v>
    <v>Map</v>
  </rv>
  <rv s="0">
    <v>536870912</v>
    <v>Asturias</v>
    <v>6880b28a-27ed-46a3-3b3f-93553df34103</v>
    <v>en-US</v>
    <v>Map</v>
  </rv>
  <rv s="0">
    <v>536870912</v>
    <v>Extremadura</v>
    <v>60c245e4-f9c9-d637-1ff7-50148c20166f</v>
    <v>en-US</v>
    <v>Map</v>
  </rv>
  <rv s="0">
    <v>536870912</v>
    <v>Navarre</v>
    <v>bd2c46e0-0dec-2a95-cf06-e23728a2a0ed</v>
    <v>en-US</v>
    <v>Map</v>
  </rv>
  <rv s="0">
    <v>536870912</v>
    <v>Cantabria</v>
    <v>ff0ffbe3-172a-ecd8-17cd-6f2f89c9d0dd</v>
    <v>en-US</v>
    <v>Map</v>
  </rv>
  <rv s="0">
    <v>536870912</v>
    <v>La Rioja</v>
    <v>c27fd34e-d1ab-5145-cc6e-9d85b07f919e</v>
    <v>en-US</v>
    <v>Map</v>
  </rv>
  <rv s="0">
    <v>536870912</v>
    <v>Ceuta</v>
    <v>4575b2d9-4933-9d93-b84d-3080054b3dda</v>
    <v>en-US</v>
    <v>Map</v>
  </rv>
  <rv s="0">
    <v>536870912</v>
    <v>Melilla</v>
    <v>a67b3afb-47dd-d884-afd6-0794c4de12ba</v>
    <v>en-US</v>
    <v>Map</v>
  </rv>
  <rv s="3">
    <v>55</v>
  </rv>
  <rv s="1">
    <fb>0.14248211393678101</fb>
    <v>40</v>
  </rv>
  <rv s="1">
    <fb>0.47</fb>
    <v>40</v>
  </rv>
  <rv s="1">
    <fb>0.13958999633789099</fb>
    <v>46</v>
  </rv>
  <rv s="1">
    <fb>37927409</fb>
    <v>8</v>
  </rv>
  <rv s="8">
    <v>#VALUE!</v>
    <v>en-US</v>
    <v>1baf9d59-f443-e9f4-6e49-de048a073e3f</v>
    <v>536870912</v>
    <v>1</v>
    <v>136</v>
    <v>38</v>
    <v>Spain</v>
    <v>4</v>
    <v>5</v>
    <v>Map</v>
    <v>6</v>
    <v>137</v>
    <v>ES</v>
    <v>690</v>
    <v>691</v>
    <v>692</v>
    <v>693</v>
    <v>694</v>
    <v>695</v>
    <v>696</v>
    <v>697</v>
    <v>698</v>
    <v>EUR</v>
    <v>Spain, officially the Kingdom of Spain, is a country in Southwestern Europe with territories in North Africa. Featuring the southernmost point of continental Europe, it is the largest country in Southern Europe and the fourth-most populous ...</v>
    <v>699</v>
    <v>700</v>
    <v>701</v>
    <v>702</v>
    <v>703</v>
    <v>704</v>
    <v>705</v>
    <v>706</v>
    <v>707</v>
    <v>708</v>
    <v>695</v>
    <v>711</v>
    <v>712</v>
    <v>713</v>
    <v>714</v>
    <v>715</v>
    <v>716</v>
    <v>Spain</v>
    <v>Marcha Real</v>
    <v>717</v>
    <v>Reino de España</v>
    <v>718</v>
    <v>719</v>
    <v>720</v>
    <v>721</v>
    <v>722</v>
    <v>723</v>
    <v>724</v>
    <v>725</v>
    <v>430</v>
    <v>726</v>
    <v>727</v>
    <v>746</v>
    <v>747</v>
    <v>314</v>
    <v>748</v>
    <v>749</v>
    <v>Spain</v>
    <v>750</v>
    <v>mdp/vdpid/217</v>
  </rv>
  <rv s="1">
    <fb>604.45510000000002</fb>
    <v>8</v>
  </rv>
  <rv s="2">
    <v>25</v>
    <v>6</v>
    <v>138</v>
    <v>7</v>
    <v>0</v>
    <v>Image of Madrid</v>
  </rv>
  <rv s="1">
    <fb>40.416944444444397</fb>
    <v>9</v>
  </rv>
  <rv s="0">
    <v>805306368</v>
    <v>José Luis Martínez-Almeida (Mayor)</v>
    <v>d059f89e-9389-5fff-d365-894d7aefd20e</v>
    <v>en-US</v>
    <v>Generic</v>
  </rv>
  <rv s="3">
    <v>56</v>
  </rv>
  <rv s="4">
    <v>https://www.bing.com/search?q=madrid+spain&amp;form=skydnc</v>
    <v>Learn more on Bing</v>
  </rv>
  <rv s="1">
    <fb>-3.70333333333333</fb>
    <v>9</v>
  </rv>
  <rv s="1">
    <fb>3332035</fb>
    <v>8</v>
  </rv>
  <rv s="11">
    <v>#VALUE!</v>
    <v>en-US</v>
    <v>a497c067-c4c6-4bf4-9a5d-34fd30589bda</v>
    <v>536870912</v>
    <v>1</v>
    <v>139</v>
    <v>60</v>
    <v>Madrid</v>
    <v>4</v>
    <v>5</v>
    <v>Map</v>
    <v>6</v>
    <v>98</v>
    <v>730</v>
    <v>752</v>
    <v>681</v>
    <v>Madrid is the capital and most populous city of Spain. The city has almost 3.4 million inhabitants and a metropolitan area population of approximately 7 million. It is the second-largest city in the European Union, and its monocentric ...</v>
    <v>753</v>
    <v>754</v>
    <v>756</v>
    <v>757</v>
    <v>758</v>
    <v>Madrid</v>
    <v>759</v>
    <v>Madrid</v>
    <v>mdp/vdpid/5669357583933112321</v>
  </rv>
  <rv s="0">
    <v>536870912</v>
    <v>Honolulu</v>
    <v>d731fc3c-d469-8636-dd36-2af83cf55145</v>
    <v>en-US</v>
    <v>Map</v>
  </rv>
  <rv s="0">
    <v>536870912</v>
    <v>Hawaii</v>
    <v>b6f01eaf-aecf-44f6-b64d-1f6e982365c3</v>
    <v>en-US</v>
    <v>Map</v>
  </rv>
  <rv s="0">
    <v>536870912</v>
    <v>Honolulu County</v>
    <v>6a1104f7-4797-056d-e612-ea6db8f7eb85</v>
    <v>en-US</v>
    <v>Map</v>
  </rv>
  <rv s="1">
    <fb>177.2</fb>
    <v>8</v>
  </rv>
  <rv s="2">
    <v>26</v>
    <v>6</v>
    <v>140</v>
    <v>7</v>
    <v>0</v>
    <v>Image of Honolulu</v>
  </rv>
  <rv s="1">
    <fb>21.304694444444401</fb>
    <v>9</v>
  </rv>
  <rv s="0">
    <v>805306368</v>
    <v>Rick Blangiardi (Mayor)</v>
    <v>a92956a5-ee24-49af-bc6f-d9dbc2b12e86</v>
    <v>en-US</v>
    <v>Generic</v>
  </rv>
  <rv s="3">
    <v>57</v>
  </rv>
  <rv s="4">
    <v>https://www.bing.com/search?q=honolulu+oahu&amp;form=skydnc</v>
    <v>Learn more on Bing</v>
  </rv>
  <rv s="1">
    <fb>-157.85719444444399</fb>
    <v>9</v>
  </rv>
  <rv s="1">
    <fb>350964</fb>
    <v>8</v>
  </rv>
  <rv s="3">
    <v>58</v>
  </rv>
  <rv s="5">
    <v>#VALUE!</v>
    <v>en-US</v>
    <v>d731fc3c-d469-8636-dd36-2af83cf55145</v>
    <v>536870912</v>
    <v>1</v>
    <v>141</v>
    <v>2</v>
    <v>Honolulu</v>
    <v>4</v>
    <v>5</v>
    <v>Map</v>
    <v>6</v>
    <v>20</v>
    <v>762</v>
    <v>763</v>
    <v>764</v>
    <v>192</v>
    <v>Honolulu is the capital and most populous city of the U.S. state of Hawaii, which is in the Pacific Ocean. It is the unincorporated county seat of the consolidated City and County of Honolulu, situated along the southeast coast of the island of ...</v>
    <v>765</v>
    <v>766</v>
    <v>768</v>
    <v>769</v>
    <v>770</v>
    <v>Honolulu</v>
    <v>771</v>
    <v>772</v>
    <v>Honolulu</v>
    <v>mdp/vdpid/4984068778523361281</v>
  </rv>
  <rv s="1">
    <fb>28311</fb>
    <v>8</v>
  </rv>
  <rv s="1">
    <fb>3369</fb>
    <v>8</v>
  </rv>
  <rv s="0">
    <v>536870912</v>
    <v>United States</v>
    <v>5232ed96-85b1-2edb-12c6-63e6c597a1de</v>
    <v>en-US</v>
    <v>Map</v>
  </rv>
  <rv s="1">
    <fb>450572</fb>
    <v>8</v>
  </rv>
  <rv s="1">
    <fb>537114</fb>
    <v>8</v>
  </rv>
  <rv s="2">
    <v>27</v>
    <v>6</v>
    <v>142</v>
    <v>7</v>
    <v>0</v>
    <v>Image of Hawaii</v>
  </rv>
  <rv s="0">
    <v>805306368</v>
    <v>Josh Green (Governor)</v>
    <v>e8a1f48b-8616-45f1-b58d-b75ef6372200</v>
    <v>en-US</v>
    <v>Generic</v>
  </rv>
  <rv s="0">
    <v>805306368</v>
    <v>Sylvia Luke (Lieutenant governor)</v>
    <v>066a4cfb-d2cd-eccc-15dd-58cb91f6b37c</v>
    <v>en-US</v>
    <v>Generic</v>
  </rv>
  <rv s="0">
    <v>805306368</v>
    <v>Brian Schatz (Senate)</v>
    <v>3535669b-5032-2a76-4ab4-a1e68e3a7e12</v>
    <v>en-US</v>
    <v>Generic</v>
  </rv>
  <rv s="0">
    <v>805306368</v>
    <v>Mazie Hirono (Senate)</v>
    <v>bce03738-9d01-8003-4b4b-9af4711c7ddf</v>
    <v>en-US</v>
    <v>Generic</v>
  </rv>
  <rv s="3">
    <v>59</v>
  </rv>
  <rv s="4">
    <v>https://www.bing.com/search?q=hawaii&amp;form=skydnc</v>
    <v>Learn more on Bing</v>
  </rv>
  <rv s="1">
    <fb>1438</fb>
    <v>45</v>
  </rv>
  <rv s="1">
    <fb>69515</fb>
    <v>45</v>
  </rv>
  <rv s="1">
    <fb>515300</fb>
    <v>45</v>
  </rv>
  <rv s="3">
    <v>60</v>
  </rv>
  <rv s="1">
    <fb>3.02</fb>
    <v>16</v>
  </rv>
  <rv s="1">
    <fb>1446146</fb>
    <v>8</v>
  </rv>
  <rv s="1">
    <fb>0.05</fb>
    <v>40</v>
  </rv>
  <rv s="1">
    <fb>0.16500000000000001</fb>
    <v>40</v>
  </rv>
  <rv s="1">
    <fb>5.0000000000000001E-3</fb>
    <v>149</v>
  </rv>
  <rv s="1">
    <fb>0.373</fb>
    <v>40</v>
  </rv>
  <rv s="1">
    <fb>0.308</fb>
    <v>40</v>
  </rv>
  <rv s="1">
    <fb>2.6000000000000002E-2</fb>
    <v>40</v>
  </rv>
  <rv s="1">
    <fb>0.17699999999999999</fb>
    <v>40</v>
  </rv>
  <rv s="1">
    <fb>0.91</fb>
    <v>40</v>
  </rv>
  <rv s="1">
    <fb>0.10400000000000001</fb>
    <v>40</v>
  </rv>
  <rv s="1">
    <fb>0.61499999999999999</fb>
    <v>40</v>
  </rv>
  <rv s="1">
    <fb>9.9000000000000005E-2</fb>
    <v>40</v>
  </rv>
  <rv s="1">
    <fb>6.5000000000000002E-2</fb>
    <v>40</v>
  </rv>
  <rv s="1">
    <fb>0.23</fb>
    <v>40</v>
  </rv>
  <rv s="1">
    <fb>0.26700000000000002</fb>
    <v>40</v>
  </rv>
  <rv s="18">
    <v>#VALUE!</v>
    <v>en-US</v>
    <v>b6f01eaf-aecf-44f6-b64d-1f6e982365c3</v>
    <v>536870912</v>
    <v>1</v>
    <v>146</v>
    <v>147</v>
    <v>Hawaii</v>
    <v>4</v>
    <v>5</v>
    <v>Map</v>
    <v>6</v>
    <v>148</v>
    <v>US-HI</v>
    <v>774</v>
    <v>775</v>
    <v>761</v>
    <v>776</v>
    <v>Hawaii is an island state of the United States, in the Pacific Ocean about 2,000 miles southwest of the U.S. mainland. One of the two non-contiguous U.S. states, it is the only state not on the North American mainland, the only state that is an ...</v>
    <v>777</v>
    <v>778</v>
    <v>779</v>
    <v>761</v>
    <v>784</v>
    <v>785</v>
    <v>786</v>
    <v>787</v>
    <v>788</v>
    <v>Hawaii</v>
    <v>789</v>
    <v>790</v>
    <v>791</v>
    <v>792</v>
    <v>793</v>
    <v>794</v>
    <v>795</v>
    <v>796</v>
    <v>797</v>
    <v>798</v>
    <v>799</v>
    <v>800</v>
    <v>801</v>
    <v>802</v>
    <v>803</v>
    <v>804</v>
    <v>243</v>
    <v>803</v>
    <v>805</v>
    <v>772</v>
    <v>Hawaii</v>
    <v>mdp/vdpid/13656</v>
  </rv>
  <rv s="0">
    <v>536870912</v>
    <v>Berlin</v>
    <v>42784943-7c23-7672-5527-06f89b965cdf</v>
    <v>en-US</v>
    <v>Map</v>
  </rv>
  <rv s="1">
    <fb>891.12</fb>
    <v>8</v>
  </rv>
  <rv s="0">
    <v>536870912</v>
    <v>Germany</v>
    <v>75c62d8e-1449-4e4d-b188-d9e88f878dd9</v>
    <v>en-US</v>
    <v>Map</v>
  </rv>
  <rv s="1">
    <fb>1794936</fb>
    <v>8</v>
  </rv>
  <rv s="1">
    <fb>1868905</fb>
    <v>8</v>
  </rv>
  <rv s="2">
    <v>28</v>
    <v>6</v>
    <v>150</v>
    <v>7</v>
    <v>0</v>
    <v>Image of Berlin</v>
  </rv>
  <rv s="0">
    <v>805306368</v>
    <v>Franziska Giffey (Mayor)</v>
    <v>0f36a115-cd69-74b0-1ad8-5ee6074d7916</v>
    <v>en-US</v>
    <v>Generic</v>
  </rv>
  <rv s="3">
    <v>61</v>
  </rv>
  <rv s="4">
    <v>https://www.bing.com/search?q=berlin+germany&amp;form=skydnc</v>
    <v>Learn more on Bing</v>
  </rv>
  <rv s="3">
    <v>62</v>
  </rv>
  <rv s="1">
    <fb>1.83</fb>
    <v>16</v>
  </rv>
  <rv s="1">
    <fb>3755251</fb>
    <v>8</v>
  </rv>
  <rv s="19">
    <v>#VALUE!</v>
    <v>en-US</v>
    <v>42784943-7c23-7672-5527-06f89b965cdf</v>
    <v>536870912</v>
    <v>1</v>
    <v>153</v>
    <v>154</v>
    <v>Berlin</v>
    <v>4</v>
    <v>5</v>
    <v>Map</v>
    <v>6</v>
    <v>15</v>
    <v>DE-BE</v>
    <v>808</v>
    <v>809</v>
    <v>Berlin is the capital and largest city of Germany by both area and by population. Its more than 3.85 million inhabitants make it the European Union's most populous city, according to population within city limits. Simultaneously, the city is one ...</v>
    <v>810</v>
    <v>811</v>
    <v>812</v>
    <v>814</v>
    <v>815</v>
    <v>Berlin</v>
    <v>816</v>
    <v>817</v>
    <v>818</v>
    <v>Berlin</v>
    <v>mdp/vdpid/7017957146650214401</v>
  </rv>
  <rv s="0">
    <v>536870912</v>
    <v>Marrakesh</v>
    <v>af4d7390-63b3-ee05-e4e3-66fb4c52f8ec</v>
    <v>en-US</v>
    <v>Map</v>
  </rv>
  <rv s="0">
    <v>536870912</v>
    <v>Marrakesh–Safi</v>
    <v>72062986-b181-1c91-77d8-f1c50d8e1167</v>
    <v>en-US</v>
    <v>Map</v>
  </rv>
  <rv s="1">
    <fb>230</fb>
    <v>8</v>
  </rv>
  <rv s="0">
    <v>536870912</v>
    <v>Morocco</v>
    <v>70f80aeb-dadf-b744-30f3-cea7fe3e7a8f</v>
    <v>en-US</v>
    <v>Map</v>
  </rv>
  <rv s="2">
    <v>29</v>
    <v>6</v>
    <v>155</v>
    <v>7</v>
    <v>0</v>
    <v>Image of Marrakesh</v>
  </rv>
  <rv s="1">
    <fb>31.629470000000001</fb>
    <v>9</v>
  </rv>
  <rv s="0">
    <v>805306368</v>
    <v>Fatima Ezzahra El Mansouri (Mayor)</v>
    <v>ca8b4822-9544-4a0f-b20f-55e262675d62</v>
    <v>en-US</v>
    <v>Generic</v>
  </rv>
  <rv s="3">
    <v>63</v>
  </rv>
  <rv s="4">
    <v>https://www.bing.com/search?q=marrakesh&amp;form=skydnc</v>
    <v>Learn more on Bing</v>
  </rv>
  <rv s="1">
    <fb>-7.9810800000000004</fb>
    <v>9</v>
  </rv>
  <rv s="1">
    <fb>928850</fb>
    <v>8</v>
  </rv>
  <rv s="3">
    <v>64</v>
  </rv>
  <rv s="12">
    <v>#VALUE!</v>
    <v>en-US</v>
    <v>af4d7390-63b3-ee05-e4e3-66fb4c52f8ec</v>
    <v>536870912</v>
    <v>1</v>
    <v>156</v>
    <v>64</v>
    <v>Marrakesh</v>
    <v>4</v>
    <v>5</v>
    <v>Map</v>
    <v>6</v>
    <v>157</v>
    <v>821</v>
    <v>822</v>
    <v>823</v>
    <v>Marrakesh or Marrakech is the fourth-largest city in Morocco. It is one of the four imperial cities of Morocco and is the capital of the Marrakesh–Safi region. The city lies west of the foothills of the Atlas Mountains.</v>
    <v>824</v>
    <v>825</v>
    <v>827</v>
    <v>828</v>
    <v>829</v>
    <v>Marrakesh</v>
    <v>830</v>
    <v>831</v>
    <v>Marrakesh</v>
    <v>mdp/vdpid/5684466510114848775</v>
  </rv>
  <rv s="0">
    <v>536870912</v>
    <v>Edinburgh</v>
    <v>286af946-edea-5f33-df53-4164821c69da</v>
    <v>en-US</v>
    <v>Map</v>
  </rv>
  <rv s="0">
    <v>536870912</v>
    <v>Lothian</v>
    <v>94bf6c20-15ae-3813-bdb1-4f1a3c9969e9</v>
    <v>en-US</v>
    <v>Map</v>
  </rv>
  <rv s="1">
    <fb>259</fb>
    <v>8</v>
  </rv>
  <rv s="0">
    <v>536870912</v>
    <v>Scotland</v>
    <v>a0377d96-1a18-f843-65ad-adcbc4acdc69</v>
    <v>en-US</v>
    <v>Map</v>
  </rv>
  <rv s="2">
    <v>30</v>
    <v>6</v>
    <v>158</v>
    <v>7</v>
    <v>0</v>
    <v>Image of Edinburgh</v>
  </rv>
  <rv s="1">
    <fb>55.953333333333298</fb>
    <v>9</v>
  </rv>
  <rv s="4">
    <v>https://www.bing.com/search?q=edinburgh+scotland&amp;form=skydnc</v>
    <v>Learn more on Bing</v>
  </rv>
  <rv s="1">
    <fb>-3.18916666666667</fb>
    <v>9</v>
  </rv>
  <rv s="1">
    <fb>514990</fb>
    <v>8</v>
  </rv>
  <rv s="3">
    <v>65</v>
  </rv>
  <rv s="15">
    <v>#VALUE!</v>
    <v>en-US</v>
    <v>286af946-edea-5f33-df53-4164821c69da</v>
    <v>536870912</v>
    <v>1</v>
    <v>159</v>
    <v>97</v>
    <v>Edinburgh</v>
    <v>4</v>
    <v>5</v>
    <v>Map</v>
    <v>6</v>
    <v>7</v>
    <v>834</v>
    <v>835</v>
    <v>836</v>
    <v>Edinburgh is the capital city of Scotland and one of its 32 council areas. The city is located in southeast Scotland and is bounded to the north by the Firth of Forth and to the south by the Pentland Hills. Edinburgh had a population of 506,520 ...</v>
    <v>837</v>
    <v>838</v>
    <v>839</v>
    <v>840</v>
    <v>Edinburgh</v>
    <v>841</v>
    <v>842</v>
    <v>Edinburgh</v>
    <v>mdp/vdpid/5469806147366027267</v>
  </rv>
  <rv s="0">
    <v>536870912</v>
    <v>Rome</v>
    <v>5ed498af-fa85-2a88-874d-212494ddb06f</v>
    <v>en-US</v>
    <v>Map</v>
  </rv>
  <rv s="0">
    <v>536870912</v>
    <v>Lazio</v>
    <v>e5d48b4e-72f5-da43-7854-da4784df7b51</v>
    <v>en-US</v>
    <v>Map</v>
  </rv>
  <rv s="0">
    <v>536870912</v>
    <v>Metropolitan City of Rome Capital</v>
    <v>76a6fcae-8c89-adab-ce40-a0d52e665024</v>
    <v>en-US</v>
    <v>Map</v>
  </rv>
  <rv s="1">
    <fb>1287.3599999999999</fb>
    <v>8</v>
  </rv>
  <rv s="0">
    <v>536870912</v>
    <v>Italy</v>
    <v>09e8f885-427b-8850-947d-202e0287b9e8</v>
    <v>en-US</v>
    <v>Map</v>
  </rv>
  <rv s="2">
    <v>31</v>
    <v>6</v>
    <v>160</v>
    <v>7</v>
    <v>0</v>
    <v>Image of Rome</v>
  </rv>
  <rv s="1">
    <fb>41.893055555556003</fb>
    <v>9</v>
  </rv>
  <rv s="0">
    <v>805306368</v>
    <v>Roberto Gualtieri (Mayor)</v>
    <v>451ff490-7a31-bc00-90b3-d0724d4c0c03</v>
    <v>en-US</v>
    <v>Generic</v>
  </rv>
  <rv s="3">
    <v>66</v>
  </rv>
  <rv s="4">
    <v>https://www.bing.com/search?q=rome+italy&amp;form=skydnc</v>
    <v>Learn more on Bing</v>
  </rv>
  <rv s="1">
    <fb>12.482777777778001</fb>
    <v>9</v>
  </rv>
  <rv s="1">
    <fb>2872800</fb>
    <v>8</v>
  </rv>
  <rv s="20">
    <v>#VALUE!</v>
    <v>en-US</v>
    <v>5ed498af-fa85-2a88-874d-212494ddb06f</v>
    <v>536870912</v>
    <v>1</v>
    <v>161</v>
    <v>162</v>
    <v>Rome</v>
    <v>4</v>
    <v>5</v>
    <v>Map</v>
    <v>6</v>
    <v>51</v>
    <v>845</v>
    <v>846</v>
    <v>847</v>
    <v>848</v>
    <v>Rome is the capital city of Italy. It is also the capital of the Lazio region, the centre of the Metropolitan City of Rome Capital, and a special comune named Comune di Roma Capitale. With 2,860,009 residents in 1,285 km², Rome is the country's ...</v>
    <v>849</v>
    <v>850</v>
    <v>852</v>
    <v>853</v>
    <v>854</v>
    <v>Rome</v>
    <v>855</v>
    <v>Rome</v>
    <v>mdp/vdpid/7215943137045250049</v>
  </rv>
  <rv s="1">
    <fb>0.432345141769226</fb>
    <v>40</v>
  </rv>
  <rv s="1">
    <fb>302068</fb>
    <v>8</v>
  </rv>
  <rv s="1">
    <fb>347000</fb>
    <v>8</v>
  </rv>
  <rv s="1">
    <fb>7.3</fb>
    <v>16</v>
  </rv>
  <rv s="1">
    <fb>39</fb>
    <v>41</v>
  </rv>
  <rv s="1">
    <fb>320411.45899999997</fb>
    <v>8</v>
  </rv>
  <rv s="1">
    <fb>110.623595648239</fb>
    <v>42</v>
  </rv>
  <rv s="1">
    <fb>6.1124694376529102E-3</fb>
    <v>40</v>
  </rv>
  <rv s="1">
    <fb>5002.4066798773601</fb>
    <v>8</v>
  </rv>
  <rv s="1">
    <fb>1.29</fb>
    <v>16</v>
  </rv>
  <rv s="1">
    <fb>0.31790303272888798</fb>
    <v>40</v>
  </rv>
  <rv s="1">
    <fb>79.948454735494707</fb>
    <v>43</v>
  </rv>
  <rv s="1">
    <fb>1.61</fb>
    <v>44</v>
  </rv>
  <rv s="1">
    <fb>2001244392041.5701</fb>
    <v>45</v>
  </rv>
  <rv s="1">
    <fb>1.0187936</fb>
    <v>40</v>
  </rv>
  <rv s="1">
    <fb>0.61933000000000005</fb>
    <v>40</v>
  </rv>
  <rv s="2">
    <v>32</v>
    <v>6</v>
    <v>164</v>
    <v>7</v>
    <v>0</v>
    <v>Image of Italy</v>
  </rv>
  <rv s="1">
    <fb>2.6</fb>
    <v>43</v>
  </rv>
  <rv s="0">
    <v>805306368</v>
    <v>Sergio Mattarella (President)</v>
    <v>7b09388e-8b92-1261-db16-7c6882735fe1</v>
    <v>en-US</v>
    <v>Generic</v>
  </rv>
  <rv s="0">
    <v>805306368</v>
    <v>Giorgia Meloni (Prime minister)</v>
    <v>5c9bb82e-e08f-f5eb-9f29-f20e75e8eb8f</v>
    <v>en-US</v>
    <v>Generic</v>
  </rv>
  <rv s="3">
    <v>67</v>
  </rv>
  <rv s="4">
    <v>https://www.bing.com/search?q=italy&amp;form=skydnc</v>
    <v>Learn more on Bing</v>
  </rv>
  <rv s="1">
    <fb>82.946341463414697</fb>
    <v>43</v>
  </rv>
  <rv s="1">
    <fb>522087790000</fb>
    <v>45</v>
  </rv>
  <rv s="1">
    <fb>2</fb>
    <v>43</v>
  </rv>
  <rv s="3">
    <v>68</v>
  </rv>
  <rv s="1">
    <fb>0.2283268819</fb>
    <v>40</v>
  </rv>
  <rv s="1">
    <fb>3.9773999999999998</fb>
    <v>16</v>
  </rv>
  <rv s="1">
    <fb>58856847</fb>
    <v>8</v>
  </rv>
  <rv s="1">
    <fb>1.9E-2</fb>
    <v>40</v>
  </rv>
  <rv s="1">
    <fb>0.06</fb>
    <v>40</v>
  </rv>
  <rv s="1">
    <fb>0.495550003051758</fb>
    <v>40</v>
  </rv>
  <rv s="0">
    <v>536870912</v>
    <v>Abruzzo</v>
    <v>6d07734f-0734-da73-bda9-a2e9e44c1042</v>
    <v>en-US</v>
    <v>Map</v>
  </rv>
  <rv s="0">
    <v>536870912</v>
    <v>Basilicata</v>
    <v>c286f639-68f8-3ed2-0119-87142c109b42</v>
    <v>en-US</v>
    <v>Map</v>
  </rv>
  <rv s="0">
    <v>536870912</v>
    <v>Calabria</v>
    <v>87d05176-c03a-c209-fa72-dfafed738418</v>
    <v>en-US</v>
    <v>Map</v>
  </rv>
  <rv s="0">
    <v>536870912</v>
    <v>Campania</v>
    <v>9933ef2b-24f2-a29d-6e4f-fe6bffe78694</v>
    <v>en-US</v>
    <v>Map</v>
  </rv>
  <rv s="0">
    <v>536870912</v>
    <v>Emilia-Romagna</v>
    <v>129d3426-cfe5-9154-2989-f246e1aa5cec</v>
    <v>en-US</v>
    <v>Map</v>
  </rv>
  <rv s="0">
    <v>536870912</v>
    <v>Friuli-Venezia Giulia</v>
    <v>dfe11af7-836d-40cf-b176-995500a2a2fb</v>
    <v>en-US</v>
    <v>Map</v>
  </rv>
  <rv s="0">
    <v>536870912</v>
    <v>Liguria</v>
    <v>bc9d0bc0-7501-9ea0-5ffc-8d29df64f153</v>
    <v>en-US</v>
    <v>Map</v>
  </rv>
  <rv s="0">
    <v>536870912</v>
    <v>Lombardy</v>
    <v>4e4d95c0-6e91-acd2-e10c-7165bc365e22</v>
    <v>en-US</v>
    <v>Map</v>
  </rv>
  <rv s="0">
    <v>536870912</v>
    <v>Marche</v>
    <v>262ac8bf-0bbd-ba85-aef3-2130493eaa9b</v>
    <v>en-US</v>
    <v>Map</v>
  </rv>
  <rv s="0">
    <v>536870912</v>
    <v>Molise</v>
    <v>048932e0-ef04-999e-a84f-326f5eaf1b11</v>
    <v>en-US</v>
    <v>Map</v>
  </rv>
  <rv s="0">
    <v>536870912</v>
    <v>Piedmont</v>
    <v>1a1b261b-a6b1-8503-5262-e2f707fe58ce</v>
    <v>en-US</v>
    <v>Map</v>
  </rv>
  <rv s="0">
    <v>536870912</v>
    <v>Apulia</v>
    <v>162619f7-7efb-76cc-0544-2da0306bd7c3</v>
    <v>en-US</v>
    <v>Map</v>
  </rv>
  <rv s="0">
    <v>536870912</v>
    <v>Sardinia</v>
    <v>2ac543b8-3c5f-c1c2-9c26-7153eb61c3d0</v>
    <v>en-US</v>
    <v>Map</v>
  </rv>
  <rv s="0">
    <v>536870912</v>
    <v>Sicily</v>
    <v>610fbc95-e594-a116-6d30-36286446a003</v>
    <v>en-US</v>
    <v>Map</v>
  </rv>
  <rv s="0">
    <v>536870912</v>
    <v>Tuscany</v>
    <v>a8854f08-da35-486d-5bd1-760f4eeb3da0</v>
    <v>en-US</v>
    <v>Map</v>
  </rv>
  <rv s="0">
    <v>536870912</v>
    <v>Trentino-Alto Adige/Südtirol</v>
    <v>b537e28d-6f0c-d8cf-1384-534def0737dd</v>
    <v>en-US</v>
    <v>Map</v>
  </rv>
  <rv s="0">
    <v>536870912</v>
    <v>Umbria</v>
    <v>a75c12d3-c6a9-ea7c-e844-577d1cfe72dd</v>
    <v>en-US</v>
    <v>Map</v>
  </rv>
  <rv s="0">
    <v>536870912</v>
    <v>Aosta Valley</v>
    <v>d9b216c7-5de6-eaf4-2383-5f7fc3075fdb</v>
    <v>en-US</v>
    <v>Map</v>
  </rv>
  <rv s="0">
    <v>536870912</v>
    <v>Veneto</v>
    <v>6809e680-9adc-134d-ebe9-70b79f5adb5f</v>
    <v>en-US</v>
    <v>Map</v>
  </rv>
  <rv s="3">
    <v>69</v>
  </rv>
  <rv s="1">
    <fb>0.24250464933068097</fb>
    <v>40</v>
  </rv>
  <rv s="1">
    <fb>0.59099999999999997</fb>
    <v>40</v>
  </rv>
  <rv s="1">
    <fb>9.8870000839233405E-2</fb>
    <v>46</v>
  </rv>
  <rv s="1">
    <fb>42651966</fb>
    <v>8</v>
  </rv>
  <rv s="21">
    <v>#VALUE!</v>
    <v>en-US</v>
    <v>09e8f885-427b-8850-947d-202e0287b9e8</v>
    <v>536870912</v>
    <v>1</v>
    <v>167</v>
    <v>168</v>
    <v>Italy</v>
    <v>4</v>
    <v>5</v>
    <v>Map</v>
    <v>6</v>
    <v>169</v>
    <v>IT</v>
    <v>857</v>
    <v>858</v>
    <v>859</v>
    <v>860</v>
    <v>861</v>
    <v>844</v>
    <v>862</v>
    <v>863</v>
    <v>864</v>
    <v>EUR</v>
    <v>Italy, officially the Italian Republic, is a country in Southern and Western Europe. It consists of a peninsula that extends into the Mediterranean Sea, with the Alps on its northern land border, as well as nearly 800 islands, notably Sicily and ...</v>
    <v>865</v>
    <v>866</v>
    <v>867</v>
    <v>868</v>
    <v>869</v>
    <v>870</v>
    <v>871</v>
    <v>872</v>
    <v>873</v>
    <v>874</v>
    <v>844</v>
    <v>877</v>
    <v>878</v>
    <v>879</v>
    <v>880</v>
    <v>881</v>
    <v>Italy</v>
    <v>Il Canto degli Italiani</v>
    <v>882</v>
    <v>Repubblica Italiana</v>
    <v>883</v>
    <v>884</v>
    <v>885</v>
    <v>804</v>
    <v>805</v>
    <v>427</v>
    <v>886</v>
    <v>887</v>
    <v>513</v>
    <v>352</v>
    <v>888</v>
    <v>908</v>
    <v>909</v>
    <v>314</v>
    <v>910</v>
    <v>911</v>
    <v>Italy</v>
    <v>912</v>
    <v>mdp/vdpid/118</v>
  </rv>
  <rv s="0">
    <v>536870912</v>
    <v>Greece</v>
    <v>9066947b-ad82-49f5-93ff-b3c4cbc4e36a</v>
    <v>en-US</v>
    <v>Map</v>
  </rv>
  <rv s="1">
    <fb>0.47602792862684301</fb>
    <v>40</v>
  </rv>
  <rv s="1">
    <fb>131957</fb>
    <v>8</v>
  </rv>
  <rv s="1">
    <fb>146000</fb>
    <v>8</v>
  </rv>
  <rv s="1">
    <fb>8.1</fb>
    <v>16</v>
  </rv>
  <rv s="1">
    <fb>30</fb>
    <v>41</v>
  </rv>
  <rv s="0">
    <v>536870912</v>
    <v>Athens</v>
    <v>b6d809e2-f1da-2d70-de81-8e8c16391ded</v>
    <v>en-US</v>
    <v>Map</v>
  </rv>
  <rv s="1">
    <fb>62434.341999999997</fb>
    <v>8</v>
  </rv>
  <rv s="1">
    <fb>101.869515066502</fb>
    <v>42</v>
  </rv>
  <rv s="1">
    <fb>1.7443010681330101E-3</fb>
    <v>40</v>
  </rv>
  <rv s="1">
    <fb>5062.6064215523202</fb>
    <v>8</v>
  </rv>
  <rv s="1">
    <fb>1.35</fb>
    <v>16</v>
  </rv>
  <rv s="1">
    <fb>0.31685026774025399</fb>
    <v>40</v>
  </rv>
  <rv s="1">
    <fb>82.574635133688304</fb>
    <v>43</v>
  </rv>
  <rv s="1">
    <fb>1.54</fb>
    <v>44</v>
  </rv>
  <rv s="1">
    <fb>209852761468.681</fb>
    <v>45</v>
  </rv>
  <rv s="1">
    <fb>0.99553479999999994</fb>
    <v>40</v>
  </rv>
  <rv s="1">
    <fb>1.3660256999999998</fb>
    <v>40</v>
  </rv>
  <rv s="2">
    <v>33</v>
    <v>6</v>
    <v>171</v>
    <v>7</v>
    <v>0</v>
    <v>Image of Greece</v>
  </rv>
  <rv s="1">
    <fb>3.6</fb>
    <v>43</v>
  </rv>
  <rv s="0">
    <v>805306368</v>
    <v>Katerina Sakellaropoulou (President)</v>
    <v>462ce5ac-144c-7783-9c94-5cea4311427e</v>
    <v>en-US</v>
    <v>Generic</v>
  </rv>
  <rv s="0">
    <v>805306368</v>
    <v>Kyriakos Mitsotakis (Prime minister)</v>
    <v>eea69f27-2379-cfc9-ae98-bda50d609c7e</v>
    <v>en-US</v>
    <v>Generic</v>
  </rv>
  <rv s="3">
    <v>70</v>
  </rv>
  <rv s="4">
    <v>https://www.bing.com/search?q=greece&amp;form=skydnc</v>
    <v>Learn more on Bing</v>
  </rv>
  <rv s="1">
    <fb>81.287804878048803</fb>
    <v>43</v>
  </rv>
  <rv s="1">
    <fb>53653980000</fb>
    <v>45</v>
  </rv>
  <rv s="1">
    <fb>3</fb>
    <v>43</v>
  </rv>
  <rv s="1">
    <fb>4.46</fb>
    <v>44</v>
  </rv>
  <rv s="3">
    <v>71</v>
  </rv>
  <rv s="1">
    <fb>0.35461187979999997</fb>
    <v>40</v>
  </rv>
  <rv s="1">
    <fb>5.4789000000000003</fb>
    <v>16</v>
  </rv>
  <rv s="1">
    <fb>10566531</fb>
    <v>8</v>
  </rv>
  <rv s="1">
    <fb>0.25900000000000001</fb>
    <v>40</v>
  </rv>
  <rv s="1">
    <fb>2.4E-2</fb>
    <v>40</v>
  </rv>
  <rv s="1">
    <fb>6.6000000000000003E-2</fb>
    <v>40</v>
  </rv>
  <rv s="1">
    <fb>0.12300000000000001</fb>
    <v>40</v>
  </rv>
  <rv s="1">
    <fb>0.17100000000000001</fb>
    <v>40</v>
  </rv>
  <rv s="1">
    <fb>0.51766998291015598</fb>
    <v>40</v>
  </rv>
  <rv s="0">
    <v>536870912</v>
    <v>Eastern Macedonia and Thrace</v>
    <v>45283058-6358-c831-aa68-dcc775d99be8</v>
    <v>en-US</v>
    <v>Map</v>
  </rv>
  <rv s="0">
    <v>536870912</v>
    <v>Central Macedonia</v>
    <v>6d44fc7c-bcb9-9915-acb9-64532e18830b</v>
    <v>en-US</v>
    <v>Map</v>
  </rv>
  <rv s="0">
    <v>536870912</v>
    <v>Western Macedonia</v>
    <v>27249c7e-b5d4-18d3-d8d5-a1d976b45cfa</v>
    <v>en-US</v>
    <v>Map</v>
  </rv>
  <rv s="0">
    <v>536870912</v>
    <v>Epirus</v>
    <v>0dd74b21-c5ee-b5c0-d0df-2449b32c4a88</v>
    <v>en-US</v>
    <v>Map</v>
  </rv>
  <rv s="0">
    <v>536870912</v>
    <v>Thessaly Region</v>
    <v>187a74ea-75fb-4b8a-2fe7-2a4b94490eaa</v>
    <v>en-US</v>
    <v>Map</v>
  </rv>
  <rv s="0">
    <v>536870912</v>
    <v>Central Greece</v>
    <v>e9e82b37-aaf6-3955-754d-29b23a35a921</v>
    <v>en-US</v>
    <v>Map</v>
  </rv>
  <rv s="0">
    <v>536870912</v>
    <v>Ionian Islands</v>
    <v>147f3b34-7c58-e675-3c33-6ec3b9e7e362</v>
    <v>en-US</v>
    <v>Map</v>
  </rv>
  <rv s="0">
    <v>536870912</v>
    <v>Western Greece</v>
    <v>8ac2f879-2ecd-0569-886c-528f24c7fe28</v>
    <v>en-US</v>
    <v>Map</v>
  </rv>
  <rv s="0">
    <v>536870912</v>
    <v>Peloponnese</v>
    <v>4465f45a-df6e-47fa-833e-fa82fd661725</v>
    <v>en-US</v>
    <v>Map</v>
  </rv>
  <rv s="0">
    <v>536870912</v>
    <v>Attica</v>
    <v>b95eb20f-b5be-999d-2b74-7984b1607486</v>
    <v>en-US</v>
    <v>Map</v>
  </rv>
  <rv s="0">
    <v>536870912</v>
    <v>North Aegean</v>
    <v>b512e4ba-99a2-717b-c03b-1ab792cd2e37</v>
    <v>en-US</v>
    <v>Map</v>
  </rv>
  <rv s="0">
    <v>536870912</v>
    <v>South Aegean</v>
    <v>65bfe017-d8f1-997e-81d9-4b05e35ff5d4</v>
    <v>en-US</v>
    <v>Map</v>
  </rv>
  <rv s="3">
    <v>72</v>
  </rv>
  <rv s="1">
    <fb>0.26193522357891597</fb>
    <v>40</v>
  </rv>
  <rv s="3">
    <v>73</v>
  </rv>
  <rv s="1">
    <fb>0.51900000000000002</fb>
    <v>40</v>
  </rv>
  <rv s="1">
    <fb>0.17238000869751002</fb>
    <v>46</v>
  </rv>
  <rv s="1">
    <fb>8507474</fb>
    <v>8</v>
  </rv>
  <rv s="8">
    <v>#VALUE!</v>
    <v>en-US</v>
    <v>9066947b-ad82-49f5-93ff-b3c4cbc4e36a</v>
    <v>536870912</v>
    <v>1</v>
    <v>174</v>
    <v>38</v>
    <v>Greece</v>
    <v>4</v>
    <v>5</v>
    <v>Map</v>
    <v>6</v>
    <v>137</v>
    <v>GR</v>
    <v>915</v>
    <v>916</v>
    <v>917</v>
    <v>918</v>
    <v>919</v>
    <v>920</v>
    <v>921</v>
    <v>922</v>
    <v>923</v>
    <v>EUR</v>
    <v>Greece, officially the Hellenic Republic, is a country in Southeast Europe. Located on the southern tip of the Balkan peninsula, Greece shares land borders with Albania to the northwest, North Macedonia and Bulgaria to the north, and Turkey to ...</v>
    <v>924</v>
    <v>925</v>
    <v>926</v>
    <v>927</v>
    <v>928</v>
    <v>929</v>
    <v>930</v>
    <v>931</v>
    <v>932</v>
    <v>933</v>
    <v>920</v>
    <v>936</v>
    <v>937</v>
    <v>938</v>
    <v>939</v>
    <v>940</v>
    <v>941</v>
    <v>Greece</v>
    <v>Hymn to Liberty</v>
    <v>942</v>
    <v>Ελληνική Δημοκρατία</v>
    <v>943</v>
    <v>944</v>
    <v>945</v>
    <v>804</v>
    <v>946</v>
    <v>245</v>
    <v>947</v>
    <v>948</v>
    <v>949</v>
    <v>950</v>
    <v>951</v>
    <v>964</v>
    <v>965</v>
    <v>966</v>
    <v>967</v>
    <v>968</v>
    <v>Greece</v>
    <v>969</v>
    <v>mdp/vdpid/98</v>
  </rv>
  <rv s="1">
    <fb>39</fb>
    <v>8</v>
  </rv>
  <rv s="2">
    <v>34</v>
    <v>6</v>
    <v>175</v>
    <v>7</v>
    <v>0</v>
    <v>Image of Athens</v>
  </rv>
  <rv s="1">
    <fb>37.984166666666702</fb>
    <v>9</v>
  </rv>
  <rv s="0">
    <v>805306368</v>
    <v>Haris Doukas (Mayor)</v>
    <v>e2a0a99d-1551-3199-406b-b7c96cb04b19</v>
    <v>en-US</v>
    <v>Generic</v>
  </rv>
  <rv s="3">
    <v>74</v>
  </rv>
  <rv s="4">
    <v>https://www.bing.com/search?q=athens+greece&amp;form=skydnc</v>
    <v>Learn more on Bing</v>
  </rv>
  <rv s="1">
    <fb>23.728055555555599</fb>
    <v>9</v>
  </rv>
  <rv s="1">
    <fb>643452</fb>
    <v>8</v>
  </rv>
  <rv s="3">
    <v>75</v>
  </rv>
  <rv s="22">
    <v>#VALUE!</v>
    <v>en-US</v>
    <v>b6d809e2-f1da-2d70-de81-8e8c16391ded</v>
    <v>536870912</v>
    <v>1</v>
    <v>176</v>
    <v>177</v>
    <v>Athens</v>
    <v>4</v>
    <v>5</v>
    <v>Map</v>
    <v>6</v>
    <v>88</v>
    <v>971</v>
    <v>914</v>
    <v>Athens is a major coastal urban area in the Mediterranean, and it is both the capital and the largest city of Greece. With its urban area's population numbering over three million, it is also the eighth largest urban area in the European Union. ...</v>
    <v>972</v>
    <v>973</v>
    <v>975</v>
    <v>976</v>
    <v>977</v>
    <v>Athens</v>
    <v>978</v>
    <v>979</v>
    <v>Athens</v>
    <v>mdp/vdpid/7246431534264090629</v>
  </rv>
  <rv s="0">
    <v>536870912</v>
    <v>Egypt</v>
    <v>7af820a7-1c8d-f12a-0ca9-87e192e82cee</v>
    <v>en-US</v>
    <v>Map</v>
  </rv>
  <rv s="1">
    <fb>3.75083632480913E-2</fb>
    <v>40</v>
  </rv>
  <rv s="1">
    <fb>1010407.87</fb>
    <v>8</v>
  </rv>
  <rv s="1">
    <fb>836000</fb>
    <v>8</v>
  </rv>
  <rv s="1">
    <fb>26.379000000000001</fb>
    <v>16</v>
  </rv>
  <rv s="1">
    <fb>20</fb>
    <v>41</v>
  </rv>
  <rv s="0">
    <v>536870912</v>
    <v>Cairo</v>
    <v>f339e71b-dff6-f428-3624-c707f5baa04c</v>
    <v>en-US</v>
    <v>Map</v>
  </rv>
  <rv s="1">
    <fb>238560.35200000001</fb>
    <v>8</v>
  </rv>
  <rv s="1">
    <fb>288.56670071116298</fb>
    <v>42</v>
  </rv>
  <rv s="1">
    <fb>9.1505022263158792E-2</fb>
    <v>40</v>
  </rv>
  <rv s="1">
    <fb>1683.2135182955701</fb>
    <v>8</v>
  </rv>
  <rv s="1">
    <fb>3.3260000000000001</fb>
    <v>16</v>
  </rv>
  <rv s="1">
    <fb>7.3936409135688501E-4</fb>
    <v>40</v>
  </rv>
  <rv s="1">
    <fb>97.928929787843501</fb>
    <v>43</v>
  </rv>
  <rv s="1">
    <fb>0.4</fb>
    <v>44</v>
  </rv>
  <rv s="1">
    <fb>303175127597.521</fb>
    <v>45</v>
  </rv>
  <rv s="1">
    <fb>1.0628493000000001</fb>
    <v>40</v>
  </rv>
  <rv s="1">
    <fb>0.35164520000000005</fb>
    <v>40</v>
  </rv>
  <rv s="2">
    <v>35</v>
    <v>6</v>
    <v>179</v>
    <v>7</v>
    <v>0</v>
    <v>Image of Egypt</v>
  </rv>
  <rv s="1">
    <fb>18.100000000000001</fb>
    <v>43</v>
  </rv>
  <rv s="0">
    <v>805306368</v>
    <v>Abdel Fattah el-Sisi (President)</v>
    <v>bd682cfc-4153-2740-55a8-5092e9ac12e6</v>
    <v>en-US</v>
    <v>Generic</v>
  </rv>
  <rv s="0">
    <v>805306368</v>
    <v>Mostafa Madbouly (Prime minister)</v>
    <v>20dec001-59cb-3582-f4b1-c36057f3c8dd</v>
    <v>en-US</v>
    <v>Generic</v>
  </rv>
  <rv s="3">
    <v>76</v>
  </rv>
  <rv s="4">
    <v>https://www.bing.com/search?q=egypt&amp;form=skydnc</v>
    <v>Learn more on Bing</v>
  </rv>
  <rv s="1">
    <fb>71.825000000000003</fb>
    <v>43</v>
  </rv>
  <rv s="1">
    <fb>44199850000</fb>
    <v>45</v>
  </rv>
  <rv s="3">
    <v>77</v>
  </rv>
  <rv s="1">
    <fb>0.61958965460000004</fb>
    <v>40</v>
  </rv>
  <rv s="1">
    <fb>0.4521</fb>
    <v>16</v>
  </rv>
  <rv s="1">
    <fb>110990103</fb>
    <v>8</v>
  </rv>
  <rv s="1">
    <fb>0.21</fb>
    <v>40</v>
  </rv>
  <rv s="1">
    <fb>0.26899999999999996</fb>
    <v>40</v>
  </rv>
  <rv s="1">
    <fb>3.7999999999999999E-2</fb>
    <v>40</v>
  </rv>
  <rv s="1">
    <fb>0.09</fb>
    <v>40</v>
  </rv>
  <rv s="1">
    <fb>0.16200000000000001</fb>
    <v>40</v>
  </rv>
  <rv s="1">
    <fb>0.46412998199462896</fb>
    <v>40</v>
  </rv>
  <rv s="0">
    <v>536870912</v>
    <v>Alexandria Governorate</v>
    <v>8003181b-e7bf-ddf4-a199-71a05b6ade79</v>
    <v>en-US</v>
    <v>Map</v>
  </rv>
  <rv s="0">
    <v>536870912</v>
    <v>Aswan Governorate</v>
    <v>511db9d8-aac1-9ab1-13bb-6138eb5616c4</v>
    <v>en-US</v>
    <v>Map</v>
  </rv>
  <rv s="0">
    <v>536870912</v>
    <v>Asyut Governorate</v>
    <v>38276c64-ea7a-410d-24b7-64beb756024c</v>
    <v>en-US</v>
    <v>Map</v>
  </rv>
  <rv s="0">
    <v>536870912</v>
    <v>Beheira Governorate</v>
    <v>cb4090bf-d2f8-2204-d585-476d3df37a8f</v>
    <v>en-US</v>
    <v>Map</v>
  </rv>
  <rv s="0">
    <v>536870912</v>
    <v>Beni Suef Governorate</v>
    <v>badcf7b4-a9e2-5517-1bdd-c780c2f26c72</v>
    <v>en-US</v>
    <v>Map</v>
  </rv>
  <rv s="0">
    <v>536870912</v>
    <v>Cairo Governorate</v>
    <v>40d749c0-d713-814e-ef3c-7915083a10e8</v>
    <v>en-US</v>
    <v>Map</v>
  </rv>
  <rv s="0">
    <v>536870912</v>
    <v>Dakahlia Governorate</v>
    <v>fdeeb0b3-047e-b574-74e0-f88c2d7a040c</v>
    <v>en-US</v>
    <v>Map</v>
  </rv>
  <rv s="0">
    <v>536870912</v>
    <v>Damietta Governorate</v>
    <v>752a9b04-16cc-3931-5ca2-fb0e1925be23</v>
    <v>en-US</v>
    <v>Map</v>
  </rv>
  <rv s="0">
    <v>536870912</v>
    <v>Faiyum Governorate</v>
    <v>eb26f94e-2766-c3d3-35f4-50cb2eb0ce55</v>
    <v>en-US</v>
    <v>Map</v>
  </rv>
  <rv s="0">
    <v>536870912</v>
    <v>Gharbia Governorate</v>
    <v>539d1f2a-e56b-981b-b68c-d4ff7d3279a2</v>
    <v>en-US</v>
    <v>Map</v>
  </rv>
  <rv s="0">
    <v>536870912</v>
    <v>Giza Governorate</v>
    <v>23a0d5e0-99dd-b522-e54d-b11659fab6ca</v>
    <v>en-US</v>
    <v>Map</v>
  </rv>
  <rv s="0">
    <v>536870912</v>
    <v>Ismailia Governorate</v>
    <v>cdc25da2-596e-d166-dd41-c8036a65ade5</v>
    <v>en-US</v>
    <v>Map</v>
  </rv>
  <rv s="0">
    <v>536870912</v>
    <v>Kafr El Sheikh Governorate</v>
    <v>308b3991-f02f-c6c6-b267-441ab51f1699</v>
    <v>en-US</v>
    <v>Map</v>
  </rv>
  <rv s="0">
    <v>536870912</v>
    <v>Matrouh Governorate</v>
    <v>f74dd9b0-23df-6191-1303-3b2ba17dc003</v>
    <v>en-US</v>
    <v>Map</v>
  </rv>
  <rv s="0">
    <v>536870912</v>
    <v>Minya Governorate</v>
    <v>e95f5f87-062b-7638-1248-4a3562370238</v>
    <v>en-US</v>
    <v>Map</v>
  </rv>
  <rv s="0">
    <v>536870912</v>
    <v>Monufia Governorate</v>
    <v>3708df96-eaa0-3c11-f327-c95a8d7a76d1</v>
    <v>en-US</v>
    <v>Map</v>
  </rv>
  <rv s="0">
    <v>536870912</v>
    <v>New Valley Governorate</v>
    <v>37340c74-0dd0-16d1-be47-975ac31f8ea1</v>
    <v>en-US</v>
    <v>Map</v>
  </rv>
  <rv s="0">
    <v>536870912</v>
    <v>North Sinai Governorate</v>
    <v>094f5c93-c38c-43cc-3c97-af2da0fb59d5</v>
    <v>en-US</v>
    <v>Map</v>
  </rv>
  <rv s="0">
    <v>536870912</v>
    <v>Port Said Governorate</v>
    <v>103ea99c-5f99-dc51-ef52-6b804e4d5070</v>
    <v>en-US</v>
    <v>Map</v>
  </rv>
  <rv s="0">
    <v>536870912</v>
    <v>Qalyubiyya Governorate</v>
    <v>5da2d5de-8ce0-0ea6-1d83-c5eba8c9ec46</v>
    <v>en-US</v>
    <v>Map</v>
  </rv>
  <rv s="0">
    <v>536870912</v>
    <v>Qena Governorate</v>
    <v>13bc95f2-9ce1-a4be-cde3-26eb1e242951</v>
    <v>en-US</v>
    <v>Map</v>
  </rv>
  <rv s="0">
    <v>536870912</v>
    <v>Red Sea Governorate</v>
    <v>e9f5f47b-c7d2-72b7-9cdd-3b8e16d774b4</v>
    <v>en-US</v>
    <v>Map</v>
  </rv>
  <rv s="0">
    <v>536870912</v>
    <v>Sharqia Governorate</v>
    <v>1bccb0aa-521d-f0af-c496-d67e43635dba</v>
    <v>en-US</v>
    <v>Map</v>
  </rv>
  <rv s="0">
    <v>536870912</v>
    <v>Sohag Governorate</v>
    <v>d302a61c-56d1-2127-6b4b-811b992d8f35</v>
    <v>en-US</v>
    <v>Map</v>
  </rv>
  <rv s="0">
    <v>536870912</v>
    <v>South Sinai Governorate</v>
    <v>efb866ef-8727-ced5-9a50-36d860c1201e</v>
    <v>en-US</v>
    <v>Map</v>
  </rv>
  <rv s="0">
    <v>536870912</v>
    <v>Suez Governorate</v>
    <v>c4378354-0b78-e7be-8a8b-ebee69155c12</v>
    <v>en-US</v>
    <v>Map</v>
  </rv>
  <rv s="0">
    <v>536870912</v>
    <v>Luxor Governorate</v>
    <v>94700196-ca2a-7d87-d77b-cc43f44dfc99</v>
    <v>en-US</v>
    <v>Map</v>
  </rv>
  <rv s="0">
    <v>536870912</v>
    <v>Helwan Governorate</v>
    <v>620896cd-1897-57e1-4303-f871d3044d3b</v>
    <v>en-US</v>
    <v>Map</v>
  </rv>
  <rv s="3">
    <v>78</v>
  </rv>
  <rv s="1">
    <fb>0.12519211097017099</fb>
    <v>40</v>
  </rv>
  <rv s="3">
    <v>79</v>
  </rv>
  <rv s="1">
    <fb>0.44400000000000001</fb>
    <v>40</v>
  </rv>
  <rv s="1">
    <fb>0.107600002288818</fb>
    <v>46</v>
  </rv>
  <rv s="1">
    <fb>42895824</fb>
    <v>8</v>
  </rv>
  <rv s="21">
    <v>#VALUE!</v>
    <v>en-US</v>
    <v>7af820a7-1c8d-f12a-0ca9-87e192e82cee</v>
    <v>536870912</v>
    <v>1</v>
    <v>182</v>
    <v>168</v>
    <v>Egypt</v>
    <v>4</v>
    <v>5</v>
    <v>Map</v>
    <v>6</v>
    <v>183</v>
    <v>EG</v>
    <v>982</v>
    <v>983</v>
    <v>984</v>
    <v>985</v>
    <v>986</v>
    <v>987</v>
    <v>988</v>
    <v>989</v>
    <v>990</v>
    <v>EGP</v>
    <v>Egypt, officially the Arab Republic of Egypt, is a country spanning the northeast corner of Africa and southwest corner of Asia via the Sinai Peninsula. It is bordered by the Mediterranean Sea to the north, the Gaza Strip of Palestine and Israel ...</v>
    <v>991</v>
    <v>992</v>
    <v>993</v>
    <v>994</v>
    <v>995</v>
    <v>996</v>
    <v>997</v>
    <v>998</v>
    <v>999</v>
    <v>1000</v>
    <v>987</v>
    <v>1003</v>
    <v>1004</v>
    <v>1005</v>
    <v>1006</v>
    <v>64</v>
    <v>Egypt</v>
    <v>Bilady, Bilady, Bilady</v>
    <v>1007</v>
    <v>جُمهورِيّةُ مِصرَ العَرَبيّةِ</v>
    <v>1008</v>
    <v>1009</v>
    <v>1010</v>
    <v>1011</v>
    <v>1012</v>
    <v>723</v>
    <v>1013</v>
    <v>1014</v>
    <v>248</v>
    <v>1015</v>
    <v>1016</v>
    <v>1045</v>
    <v>1046</v>
    <v>1047</v>
    <v>1048</v>
    <v>1049</v>
    <v>Egypt</v>
    <v>1050</v>
    <v>mdp/vdpid/67</v>
  </rv>
  <rv s="1">
    <fb>528</fb>
    <v>8</v>
  </rv>
  <rv s="2">
    <v>36</v>
    <v>6</v>
    <v>184</v>
    <v>7</v>
    <v>0</v>
    <v>Image of Cairo</v>
  </rv>
  <rv s="1">
    <fb>30.044444444444402</fb>
    <v>9</v>
  </rv>
  <rv s="0">
    <v>805306368</v>
    <v>Ibrahim Saber Khalil (Governor)</v>
    <v>b228107e-4af7-10da-bfe6-9068d7ca2bd2</v>
    <v>en-US</v>
    <v>Generic</v>
  </rv>
  <rv s="3">
    <v>80</v>
  </rv>
  <rv s="4">
    <v>https://www.bing.com/search?q=cairo+egypt&amp;form=skydnc</v>
    <v>Learn more on Bing</v>
  </rv>
  <rv s="1">
    <fb>31.2358333333333</fb>
    <v>9</v>
  </rv>
  <rv s="1">
    <fb>10100166</fb>
    <v>8</v>
  </rv>
  <rv s="5">
    <v>#VALUE!</v>
    <v>en-US</v>
    <v>f339e71b-dff6-f428-3624-c707f5baa04c</v>
    <v>536870912</v>
    <v>1</v>
    <v>185</v>
    <v>2</v>
    <v>Cairo</v>
    <v>4</v>
    <v>5</v>
    <v>Map</v>
    <v>6</v>
    <v>51</v>
    <v>1022</v>
    <v>1022</v>
    <v>1052</v>
    <v>981</v>
    <v>Cairo is the capital and largest city of Egypt and the Cairo Governorate, being home to more than 10 million people. It is also part of the largest urban agglomeration in Africa, the Arab world, and the Middle East. The Greater Cairo ...</v>
    <v>1053</v>
    <v>1054</v>
    <v>1056</v>
    <v>1057</v>
    <v>1058</v>
    <v>Cairo</v>
    <v>1059</v>
    <v>1047</v>
    <v>Cairo</v>
    <v>mdp/vdpid/7263820929786970117</v>
  </rv>
  <rv s="0">
    <v>536870912</v>
    <v>Canada</v>
    <v>370ed614-32e1-4326-a356-dc0a7dd56aaa</v>
    <v>en-US</v>
    <v>Map</v>
  </rv>
  <rv s="1">
    <fb>6.8918382450780802E-2</fb>
    <v>40</v>
  </rv>
  <rv s="1">
    <fb>9984670</fb>
    <v>8</v>
  </rv>
  <rv s="1">
    <fb>72000</fb>
    <v>8</v>
  </rv>
  <rv s="1">
    <fb>10.1</fb>
    <v>16</v>
  </rv>
  <rv s="1">
    <fb>1</fb>
    <v>41</v>
  </rv>
  <rv s="0">
    <v>536870912</v>
    <v>Ottawa</v>
    <v>3f2544d2-4937-9101-2f53-621199e253e5</v>
    <v>en-US</v>
    <v>Map</v>
  </rv>
  <rv s="1">
    <fb>544894.19799999997</fb>
    <v>8</v>
  </rv>
  <rv s="1">
    <fb>116.75729822552999</fb>
    <v>42</v>
  </rv>
  <rv s="1">
    <fb>1.9492690241159599E-2</fb>
    <v>40</v>
  </rv>
  <rv s="1">
    <fb>15588.4871464315</fb>
    <v>8</v>
  </rv>
  <rv s="1">
    <fb>1.4987999999999999</fb>
    <v>16</v>
  </rv>
  <rv s="1">
    <fb>0.38161546668997998</fb>
    <v>40</v>
  </rv>
  <rv s="1">
    <fb>74.089062024805997</fb>
    <v>43</v>
  </rv>
  <rv s="1">
    <fb>0.81</fb>
    <v>44</v>
  </rv>
  <rv s="1">
    <fb>1736425629519.96</fb>
    <v>45</v>
  </rv>
  <rv s="1">
    <fb>1.0094368</fb>
    <v>40</v>
  </rv>
  <rv s="1">
    <fb>0.68922510000000003</fb>
    <v>40</v>
  </rv>
  <rv s="2">
    <v>37</v>
    <v>6</v>
    <v>187</v>
    <v>7</v>
    <v>0</v>
    <v>Image of Canada</v>
  </rv>
  <rv s="1">
    <fb>4.3</fb>
    <v>43</v>
  </rv>
  <rv s="0">
    <v>536870912</v>
    <v>Toronto</v>
    <v>e9c1d78f-effd-4cbf-af56-ce709763b200</v>
    <v>en-US</v>
    <v>Map</v>
  </rv>
  <rv s="0">
    <v>805306368</v>
    <v>Justin Trudeau (Prime minister)</v>
    <v>d37aba31-28d1-b943-f0c6-dbddeb460528</v>
    <v>en-US</v>
    <v>Generic</v>
  </rv>
  <rv s="3">
    <v>81</v>
  </rv>
  <rv s="4">
    <v>https://www.bing.com/search?q=canada+country&amp;form=skydnc</v>
    <v>Learn more on Bing</v>
  </rv>
  <rv s="1">
    <fb>81.948780487804896</fb>
    <v>43</v>
  </rv>
  <rv s="1">
    <fb>1937902710000</fb>
    <v>45</v>
  </rv>
  <rv s="1">
    <fb>10</fb>
    <v>43</v>
  </rv>
  <rv s="1">
    <fb>9.51</fb>
    <v>44</v>
  </rv>
  <rv s="3">
    <v>82</v>
  </rv>
  <rv s="1">
    <fb>0.1458492763</fb>
    <v>40</v>
  </rv>
  <rv s="1">
    <fb>2.6101999999999999</fb>
    <v>16</v>
  </rv>
  <rv s="1">
    <fb>38929902</fb>
    <v>8</v>
  </rv>
  <rv s="1">
    <fb>0.23300000000000001</fb>
    <v>40</v>
  </rv>
  <rv s="1">
    <fb>0.251</fb>
    <v>40</v>
  </rv>
  <rv s="1">
    <fb>0.40600000000000003</fb>
    <v>40</v>
  </rv>
  <rv s="1">
    <fb>6.7000000000000004E-2</fb>
    <v>40</v>
  </rv>
  <rv s="1">
    <fb>0.124</fb>
    <v>40</v>
  </rv>
  <rv s="1">
    <fb>0.17</fb>
    <v>40</v>
  </rv>
  <rv s="1">
    <fb>0.65070999145507802</fb>
    <v>40</v>
  </rv>
  <rv s="0">
    <v>536870912</v>
    <v>Ontario</v>
    <v>070ad921-224a-9ed5-6fe1-8eab57b4b2e7</v>
    <v>en-US</v>
    <v>Map</v>
  </rv>
  <rv s="0">
    <v>536870912</v>
    <v>Quebec</v>
    <v>32da1fe8-6bb5-f40e-e008-82becf7ef390</v>
    <v>en-US</v>
    <v>Map</v>
  </rv>
  <rv s="0">
    <v>536870912</v>
    <v>Nova Scotia</v>
    <v>baa4aedd-bbb6-989e-cba4-ec2c9bdd906a</v>
    <v>en-US</v>
    <v>Map</v>
  </rv>
  <rv s="0">
    <v>536870912</v>
    <v>New Brunswick</v>
    <v>ed967bed-da27-9206-2407-d4e698015192</v>
    <v>en-US</v>
    <v>Map</v>
  </rv>
  <rv s="0">
    <v>536870912</v>
    <v>Manitoba</v>
    <v>21c9c883-dcc4-1490-a815-79c6eb525369</v>
    <v>en-US</v>
    <v>Map</v>
  </rv>
  <rv s="0">
    <v>536870912</v>
    <v>Newfoundland and Labrador</v>
    <v>895215e2-2c65-6494-fa6a-1f441a39ac4f</v>
    <v>en-US</v>
    <v>Map</v>
  </rv>
  <rv s="0">
    <v>536870912</v>
    <v>Prince Edward Island</v>
    <v>4e4aadcb-4928-0762-e307-bc01ba8f3dfb</v>
    <v>en-US</v>
    <v>Map</v>
  </rv>
  <rv s="0">
    <v>536870912</v>
    <v>Saskatchewan</v>
    <v>ec7108bb-bd34-c969-f3f2-2a9eed70102e</v>
    <v>en-US</v>
    <v>Map</v>
  </rv>
  <rv s="0">
    <v>536870912</v>
    <v>Alberta</v>
    <v>ac4b7d59-c4be-889f-9a45-7e7c524794ec</v>
    <v>en-US</v>
    <v>Map</v>
  </rv>
  <rv s="0">
    <v>536870912</v>
    <v>Yukon</v>
    <v>68d0a1b9-92a8-857c-53f4-9150cd050ece</v>
    <v>en-US</v>
    <v>Map</v>
  </rv>
  <rv s="0">
    <v>536870912</v>
    <v>Northwest Territories</v>
    <v>2e2284ce-2cc1-0b16-10e6-0783ada7c95b</v>
    <v>en-US</v>
    <v>Map</v>
  </rv>
  <rv s="0">
    <v>536870912</v>
    <v>Nunavut</v>
    <v>5220a5b2-1244-23fe-9851-d4b0373ac92e</v>
    <v>en-US</v>
    <v>Map</v>
  </rv>
  <rv s="0">
    <v>536870912</v>
    <v>British Columbia</v>
    <v>32a8fd1c-cd9d-0da9-35fb-f952ed824d4f</v>
    <v>en-US</v>
    <v>Map</v>
  </rv>
  <rv s="3">
    <v>83</v>
  </rv>
  <rv s="1">
    <fb>0.12844017475747799</fb>
    <v>40</v>
  </rv>
  <rv s="3">
    <v>84</v>
  </rv>
  <rv s="1">
    <fb>0.245</fb>
    <v>40</v>
  </rv>
  <rv s="1">
    <fb>5.5640001296997095E-2</fb>
    <v>46</v>
  </rv>
  <rv s="1">
    <fb>30628482</fb>
    <v>8</v>
  </rv>
  <rv s="8">
    <v>#VALUE!</v>
    <v>en-US</v>
    <v>370ed614-32e1-4326-a356-dc0a7dd56aaa</v>
    <v>536870912</v>
    <v>1</v>
    <v>190</v>
    <v>38</v>
    <v>Canada</v>
    <v>4</v>
    <v>5</v>
    <v>Map</v>
    <v>6</v>
    <v>191</v>
    <v>CA</v>
    <v>1062</v>
    <v>1063</v>
    <v>1064</v>
    <v>1065</v>
    <v>1066</v>
    <v>1067</v>
    <v>1068</v>
    <v>1069</v>
    <v>1070</v>
    <v>CAD</v>
    <v>Canada is a country in North America. Its ten provinces and three territories extend from the Atlantic Ocean to the Pacific Ocean and northward into the Arctic Ocean, making it the world's second-largest country by total area, with the world's ...</v>
    <v>1071</v>
    <v>1072</v>
    <v>1073</v>
    <v>1074</v>
    <v>1075</v>
    <v>1076</v>
    <v>1077</v>
    <v>1078</v>
    <v>1079</v>
    <v>1080</v>
    <v>1081</v>
    <v>1083</v>
    <v>1084</v>
    <v>1085</v>
    <v>1086</v>
    <v>1087</v>
    <v>1088</v>
    <v>Canada</v>
    <v>O Canada</v>
    <v>1089</v>
    <v>Canada</v>
    <v>1090</v>
    <v>1091</v>
    <v>1092</v>
    <v>1093</v>
    <v>1094</v>
    <v>1095</v>
    <v>947</v>
    <v>1096</v>
    <v>1097</v>
    <v>1098</v>
    <v>1099</v>
    <v>1113</v>
    <v>1114</v>
    <v>1115</v>
    <v>1116</v>
    <v>1117</v>
    <v>Canada</v>
    <v>1118</v>
    <v>mdp/vdpid/39</v>
  </rv>
  <rv s="1">
    <fb>2778.64</fb>
    <v>8</v>
  </rv>
  <rv s="2">
    <v>38</v>
    <v>6</v>
    <v>192</v>
    <v>7</v>
    <v>0</v>
    <v>Image of Ottawa</v>
  </rv>
  <rv s="1">
    <fb>45.424722222222002</fb>
    <v>9</v>
  </rv>
  <rv s="0">
    <v>805306368</v>
    <v>Mark Sutcliffe (Mayor)</v>
    <v>9e9a5f48-2c85-04d5-35ab-d417c74d4a61</v>
    <v>en-US</v>
    <v>Generic</v>
  </rv>
  <rv s="3">
    <v>85</v>
  </rv>
  <rv s="4">
    <v>https://www.bing.com/search?q=ottawa+canada&amp;form=skydnc</v>
    <v>Learn more on Bing</v>
  </rv>
  <rv s="1">
    <fb>-75.694999999999993</fb>
    <v>9</v>
  </rv>
  <rv s="1">
    <fb>1017449</fb>
    <v>8</v>
  </rv>
  <rv s="5">
    <v>#VALUE!</v>
    <v>en-US</v>
    <v>3f2544d2-4937-9101-2f53-621199e253e5</v>
    <v>536870912</v>
    <v>1</v>
    <v>193</v>
    <v>2</v>
    <v>Ottawa</v>
    <v>4</v>
    <v>5</v>
    <v>Map</v>
    <v>6</v>
    <v>88</v>
    <v>1100</v>
    <v>1100</v>
    <v>1120</v>
    <v>1061</v>
    <v>Ottawa is the capital city of Canada. It is located in the southern portion of the province of Ontario, at the confluence of the Ottawa River and the Rideau River. Ottawa borders Gatineau, Quebec, and forms the core of the Ottawa–Gatineau census ...</v>
    <v>1121</v>
    <v>1122</v>
    <v>1124</v>
    <v>1125</v>
    <v>1126</v>
    <v>Ottawa</v>
    <v>1127</v>
    <v>200</v>
    <v>Ottawa</v>
    <v>mdp/vdpid/5293778150210142211</v>
  </rv>
  <rv s="0">
    <v>536870912</v>
    <v>Vancouver</v>
    <v>d9a176fc-df40-2288-f646-b6bf5b7d4a9b</v>
    <v>en-US</v>
    <v>Map</v>
  </rv>
  <rv s="0">
    <v>536870912</v>
    <v>Metro Vancouver Regional District</v>
    <v>b31526f7-e7da-ece2-8722-ac71bfe24ef9</v>
    <v>en-US</v>
    <v>Map</v>
  </rv>
  <rv s="1">
    <fb>115</fb>
    <v>8</v>
  </rv>
  <rv s="2">
    <v>39</v>
    <v>6</v>
    <v>194</v>
    <v>7</v>
    <v>0</v>
    <v>Image of Vancouver</v>
  </rv>
  <rv s="1">
    <fb>49.260833333333302</fb>
    <v>9</v>
  </rv>
  <rv s="0">
    <v>805306368</v>
    <v>Ken Sim (Mayor)</v>
    <v>d78ae3c3-df7b-6ac7-13c7-86ca46800f71</v>
    <v>en-US</v>
    <v>Generic</v>
  </rv>
  <rv s="3">
    <v>86</v>
  </rv>
  <rv s="4">
    <v>https://www.bing.com/search?q=vancouver+canada&amp;form=skydnc</v>
    <v>Learn more on Bing</v>
  </rv>
  <rv s="1">
    <fb>-123.11388888888899</fb>
    <v>9</v>
  </rv>
  <rv s="1">
    <fb>662248</fb>
    <v>8</v>
  </rv>
  <rv s="20">
    <v>#VALUE!</v>
    <v>en-US</v>
    <v>d9a176fc-df40-2288-f646-b6bf5b7d4a9b</v>
    <v>536870912</v>
    <v>1</v>
    <v>195</v>
    <v>162</v>
    <v>Vancouver</v>
    <v>4</v>
    <v>5</v>
    <v>Map</v>
    <v>6</v>
    <v>88</v>
    <v>1112</v>
    <v>1130</v>
    <v>1131</v>
    <v>1061</v>
    <v>Vancouver is a major city in western Canada, located in the Lower Mainland region of British Columbia. As the most populous city in the province, the 2021 Canadian census recorded 662,248 people in the city, up from 631,486 in 2016. The Metro ...</v>
    <v>1132</v>
    <v>1133</v>
    <v>1135</v>
    <v>1136</v>
    <v>1137</v>
    <v>Vancouver</v>
    <v>1138</v>
    <v>Vancouver</v>
    <v>mdp/vdpid/4859488649827319809</v>
  </rv>
  <rv s="0">
    <v>536870912</v>
    <v>Seoul</v>
    <v>669b47ba-40b4-0147-3657-a7dd0861132c</v>
    <v>en-US</v>
    <v>Map</v>
  </rv>
  <rv s="1">
    <fb>605.25</fb>
    <v>8</v>
  </rv>
  <rv s="0">
    <v>536870912</v>
    <v>Jung District, Seoul</v>
    <v>6ded7087-821c-6453-3bd8-2a280fe33548</v>
    <v>en-US</v>
    <v>Map</v>
  </rv>
  <rv s="0">
    <v>536870912</v>
    <v>South Korea</v>
    <v>b003484d-7dbb-1bab-0627-e4f8277edc5b</v>
    <v>en-US</v>
    <v>Map</v>
  </rv>
  <rv s="1">
    <fb>3915023</fb>
    <v>8</v>
  </rv>
  <rv s="1">
    <fb>2830857</fb>
    <v>8</v>
  </rv>
  <rv s="2">
    <v>40</v>
    <v>6</v>
    <v>196</v>
    <v>7</v>
    <v>0</v>
    <v>Image of Seoul</v>
  </rv>
  <rv s="0">
    <v>805306368</v>
    <v>Oh Se-hoon (Mayor)</v>
    <v>0771cc02-de02-404f-b63d-e5126ad480d4</v>
    <v>en-US</v>
    <v>Generic</v>
  </rv>
  <rv s="3">
    <v>87</v>
  </rv>
  <rv s="4">
    <v>https://www.bing.com/search?q=seoul+korea&amp;form=skydnc</v>
    <v>Learn more on Bing</v>
  </rv>
  <rv s="3">
    <v>88</v>
  </rv>
  <rv s="1">
    <fb>9668465</fb>
    <v>8</v>
  </rv>
  <rv s="3">
    <v>89</v>
  </rv>
  <rv s="23">
    <v>#VALUE!</v>
    <v>en-US</v>
    <v>669b47ba-40b4-0147-3657-a7dd0861132c</v>
    <v>536870912</v>
    <v>1</v>
    <v>199</v>
    <v>200</v>
    <v>Seoul</v>
    <v>4</v>
    <v>5</v>
    <v>Map</v>
    <v>6</v>
    <v>201</v>
    <v>KR-11</v>
    <v>1141</v>
    <v>1142</v>
    <v>1143</v>
    <v>Seoul, officially Seoul Special Metropolitan City, is the capital and largest city of South Korea. The broader Seoul Metropolitan Area, encompassing Seoul, Gyeonggi Province and Incheon, emerged as the world's sixth largest metropolitan economy ...</v>
    <v>1144</v>
    <v>1145</v>
    <v>1146</v>
    <v>1148</v>
    <v>1149</v>
    <v>Seoul</v>
    <v>1150</v>
    <v>1151</v>
    <v>1152</v>
    <v>Seoul</v>
    <v>mdp/vdpid/7832619085128007681</v>
  </rv>
  <rv s="1">
    <fb>9.9600000000000009</fb>
    <v>8</v>
  </rv>
  <rv s="2">
    <v>41</v>
    <v>6</v>
    <v>202</v>
    <v>7</v>
    <v>0</v>
    <v>Image of Jung District, Seoul</v>
  </rv>
  <rv s="0">
    <v>536870912</v>
    <v>Sindang-dong</v>
    <v>1af7d81c-cbf5-55e9-44bb-0c65af8da7e2</v>
    <v>en-US</v>
    <v>Map</v>
  </rv>
  <rv s="4">
    <v>https://www.bing.com/search?q=jung+district%2c+seoul&amp;form=skydnc</v>
    <v>Learn more on Bing</v>
  </rv>
  <rv s="1">
    <fb>121324</fb>
    <v>8</v>
  </rv>
  <rv s="3">
    <v>90</v>
  </rv>
  <rv s="24">
    <v>#VALUE!</v>
    <v>en-US</v>
    <v>6ded7087-821c-6453-3bd8-2a280fe33548</v>
    <v>536870912</v>
    <v>1</v>
    <v>203</v>
    <v>204</v>
    <v>Jung District, Seoul</v>
    <v>205</v>
    <v>5</v>
    <v>Map</v>
    <v>6</v>
    <v>69</v>
    <v>1140</v>
    <v>1154</v>
    <v>1143</v>
    <v>Jung District is one of the 25 districts of Seoul, South Korea. It has a population of 131,452 and has a geographic area 9.96 km², making it both the least-populous and the smallest district of Seoul, and is divided into 15 dong. Jung is located ...</v>
    <v>1155</v>
    <v>1156</v>
    <v>1157</v>
    <v>Jung District, Seoul</v>
    <v>1158</v>
    <v>1159</v>
    <v>Jung District, Seoul</v>
  </rv>
  <rv s="0">
    <v>536870912</v>
    <v>Los Angeles</v>
    <v>9958ca5c-ea31-4e71-8a17-bd1e7839c723</v>
    <v>en-US</v>
    <v>Map</v>
  </rv>
  <rv s="0">
    <v>536870912</v>
    <v>California</v>
    <v>3009d91d-d582-4c34-85ba-772ba09e5be1</v>
    <v>en-US</v>
    <v>Map</v>
  </rv>
  <rv s="0">
    <v>536870912</v>
    <v>Los Angeles County, California</v>
    <v>a22eb5ba-111e-51ea-f880-81d4f242d057</v>
    <v>en-US</v>
    <v>Map</v>
  </rv>
  <rv s="1">
    <fb>1302.1517100000001</fb>
    <v>8</v>
  </rv>
  <rv s="0">
    <v>536870912</v>
    <v>United States</v>
    <v>e3ef53f2-d302-b22a-64a7-6e0ce65be769</v>
    <v>en-US</v>
    <v>Map</v>
  </rv>
  <rv s="2">
    <v>42</v>
    <v>6</v>
    <v>206</v>
    <v>7</v>
    <v>0</v>
    <v>Image of Los Angeles</v>
  </rv>
  <rv s="1">
    <fb>34.052230000000002</fb>
    <v>9</v>
  </rv>
  <rv s="0">
    <v>805306368</v>
    <v>Karen Bass (Mayor)</v>
    <v>a751553e-fe0b-cc4e-1581-201bdf467bf3</v>
    <v>en-US</v>
    <v>Generic</v>
  </rv>
  <rv s="3">
    <v>91</v>
  </rv>
  <rv s="4">
    <v>https://www.bing.com/search?q=los+angeles&amp;form=skydnc</v>
    <v>Learn more on Bing</v>
  </rv>
  <rv s="1">
    <fb>-118.24368</fb>
    <v>9</v>
  </rv>
  <rv s="1">
    <fb>3820914</fb>
    <v>8</v>
  </rv>
  <rv s="3">
    <v>92</v>
  </rv>
  <rv s="5">
    <v>#VALUE!</v>
    <v>en-US</v>
    <v>9958ca5c-ea31-4e71-8a17-bd1e7839c723</v>
    <v>536870912</v>
    <v>1</v>
    <v>207</v>
    <v>2</v>
    <v>Los Angeles</v>
    <v>4</v>
    <v>5</v>
    <v>Map</v>
    <v>6</v>
    <v>98</v>
    <v>1162</v>
    <v>1163</v>
    <v>1164</v>
    <v>1165</v>
    <v>Los Angeles, often referred to by its initials L.A., is the most populous city in the U.S. state of California. With an estimated 3,820,914 residents within the city limits as of 2023, it is the second-most populous city in the United States, ...</v>
    <v>1166</v>
    <v>1167</v>
    <v>1169</v>
    <v>1170</v>
    <v>1171</v>
    <v>Los Angeles</v>
    <v>1172</v>
    <v>1173</v>
    <v>Los Angeles</v>
    <v>mdp/vdpid/5059788015119892481</v>
  </rv>
  <rv s="0">
    <v>536870912</v>
    <v>Cape Town</v>
    <v>cc33fb0f-11af-0f77-4d33-216c57f0cc9c</v>
    <v>en-US</v>
    <v>Map</v>
  </rv>
  <rv s="0">
    <v>536870912</v>
    <v>Western Cape</v>
    <v>c7b124b8-e75d-0b9b-5245-dda6bbb13800</v>
    <v>en-US</v>
    <v>Map</v>
  </rv>
  <rv s="0">
    <v>536870912</v>
    <v>City of Cape Town</v>
    <v>566d7c58-37a3-60ef-1a31-f89ed2fa787d</v>
    <v>en-US</v>
    <v>Map</v>
  </rv>
  <rv s="1">
    <fb>2454.7199999999998</fb>
    <v>8</v>
  </rv>
  <rv s="0">
    <v>536870912</v>
    <v>South Africa</v>
    <v>38a9fd4a-4f7c-6d91-d6dd-4eed3131672d</v>
    <v>en-US</v>
    <v>Map</v>
  </rv>
  <rv s="2">
    <v>43</v>
    <v>6</v>
    <v>208</v>
    <v>7</v>
    <v>0</v>
    <v>Image of Cape Town</v>
  </rv>
  <rv s="1">
    <fb>-33.925277777777801</fb>
    <v>9</v>
  </rv>
  <rv s="0">
    <v>805306368</v>
    <v>Geordin Hill-Lewis (Mayor)</v>
    <v>53812d1d-36eb-11da-5153-b2672d96c00c</v>
    <v>en-US</v>
    <v>Generic</v>
  </rv>
  <rv s="0">
    <v>805306368</v>
    <v>Eddie Andrews (Deputy mayor)</v>
    <v>ba2f5297-99b4-d6e1-2931-fbffe32c0e59</v>
    <v>en-US</v>
    <v>Generic</v>
  </rv>
  <rv s="3">
    <v>93</v>
  </rv>
  <rv s="4">
    <v>https://www.bing.com/search?q=cape+town+south+africa&amp;form=skydnc</v>
    <v>Learn more on Bing</v>
  </rv>
  <rv s="1">
    <fb>18.4238888888889</fb>
    <v>9</v>
  </rv>
  <rv s="1">
    <fb>433688</fb>
    <v>8</v>
  </rv>
  <rv s="20">
    <v>#VALUE!</v>
    <v>en-US</v>
    <v>cc33fb0f-11af-0f77-4d33-216c57f0cc9c</v>
    <v>536870912</v>
    <v>1</v>
    <v>209</v>
    <v>162</v>
    <v>Cape Town</v>
    <v>4</v>
    <v>5</v>
    <v>Map</v>
    <v>6</v>
    <v>210</v>
    <v>1176</v>
    <v>1177</v>
    <v>1178</v>
    <v>1179</v>
    <v>Cape Town is the legislative capital of South Africa. It is the country's oldest city and the seat of the Parliament of South Africa. It is the country's second-largest city, after Johannesburg, and the largest in the Western Cape. The city is ...</v>
    <v>1180</v>
    <v>1181</v>
    <v>1184</v>
    <v>1185</v>
    <v>1186</v>
    <v>Cape Town</v>
    <v>1187</v>
    <v>Cape Town</v>
    <v>mdp/vdpid/8171922733278429185</v>
  </rv>
  <rv s="0">
    <v>536870912</v>
    <v>Santorini</v>
    <v>f8d79039-7daa-910c-f0ad-1abb63ab0f23</v>
    <v>en-US</v>
    <v>Map</v>
  </rv>
  <rv s="1">
    <fb>79.194000000000003</fb>
    <v>8</v>
  </rv>
  <rv s="2">
    <v>44</v>
    <v>6</v>
    <v>211</v>
    <v>7</v>
    <v>0</v>
    <v>Image of Santorini</v>
  </rv>
  <rv s="1">
    <fb>36.414999999999999</fb>
    <v>9</v>
  </rv>
  <rv s="0">
    <v>805306368</v>
    <v>Antonis Sigalas (Mayor)</v>
    <v>ce4fa5d5-c466-552b-43a8-6dc5b9f592b7</v>
    <v>en-US</v>
    <v>Generic</v>
  </rv>
  <rv s="3">
    <v>94</v>
  </rv>
  <rv s="4">
    <v>https://www.bing.com/search?q=santorini+greece&amp;form=skydnc</v>
    <v>Learn more on Bing</v>
  </rv>
  <rv s="1">
    <fb>25.432500000000001</fb>
    <v>9</v>
  </rv>
  <rv s="1">
    <fb>17430</fb>
    <v>8</v>
  </rv>
  <rv s="25">
    <v>#VALUE!</v>
    <v>en-US</v>
    <v>f8d79039-7daa-910c-f0ad-1abb63ab0f23</v>
    <v>536870912</v>
    <v>1</v>
    <v>212</v>
    <v>213</v>
    <v>Santorini</v>
    <v>4</v>
    <v>5</v>
    <v>Map</v>
    <v>6</v>
    <v>210</v>
    <v>1190</v>
    <v>914</v>
    <v>Santorini, officially Thira and Classical Greek Thera, is an island in the southern Aegean Sea, about 200 km southeast from the Greek mainland. It is the largest island of a small, circular archipelago formed by the Santorini caldera. It is the ...</v>
    <v>1191</v>
    <v>1192</v>
    <v>1194</v>
    <v>1195</v>
    <v>1196</v>
    <v>Santorini</v>
    <v>1197</v>
    <v>Santorini</v>
    <v>mdp/vdpid/7247982292067418113</v>
  </rv>
  <rv s="0">
    <v>536870912</v>
    <v>Phnom Penh</v>
    <v>2af6d400-9e36-c46e-40c8-48152c13e1cc</v>
    <v>en-US</v>
    <v>Map</v>
  </rv>
  <rv s="1">
    <fb>678.46</fb>
    <v>8</v>
  </rv>
  <rv s="0">
    <v>536870912</v>
    <v>Cambodia</v>
    <v>bb8658d2-efc7-e40e-6397-05439c87cb30</v>
    <v>en-US</v>
    <v>Map</v>
  </rv>
  <rv s="2">
    <v>45</v>
    <v>6</v>
    <v>214</v>
    <v>7</v>
    <v>0</v>
    <v>Image of Phnom Penh</v>
  </rv>
  <rv s="0">
    <v>805306368</v>
    <v>Khuong Sreng (Governor)</v>
    <v>efce3c32-3b10-b430-a3b1-23f29c28bea2</v>
    <v>en-US</v>
    <v>Generic</v>
  </rv>
  <rv s="3">
    <v>95</v>
  </rv>
  <rv s="4">
    <v>https://www.bing.com/search?q=phnom+penh&amp;form=skydnc</v>
    <v>Learn more on Bing</v>
  </rv>
  <rv s="1">
    <fb>2129371</fb>
    <v>8</v>
  </rv>
  <rv s="26">
    <v>#VALUE!</v>
    <v>en-US</v>
    <v>2af6d400-9e36-c46e-40c8-48152c13e1cc</v>
    <v>536870912</v>
    <v>1</v>
    <v>216</v>
    <v>217</v>
    <v>Phnom Penh</v>
    <v>4</v>
    <v>5</v>
    <v>Map</v>
    <v>6</v>
    <v>218</v>
    <v>KH-12</v>
    <v>1200</v>
    <v>1201</v>
    <v>Phnom Penh is the capital and most populous city of Cambodia. It has been the national capital since the French protectorate of Cambodia and has grown to become the nation's primate city and its economic, industrial, and cultural centre. Before ...</v>
    <v>1202</v>
    <v>1204</v>
    <v>1205</v>
    <v>Phnom Penh</v>
    <v>1206</v>
    <v>Phnom Penh</v>
    <v>mdp/vdpid/7869867929397886977</v>
  </rv>
  <rv s="0">
    <v>536870912</v>
    <v>Auckland</v>
    <v>49fabed5-6ff0-6935-ebef-34c7b83444c6</v>
    <v>en-US</v>
    <v>Map</v>
  </rv>
  <rv s="0">
    <v>536870912</v>
    <v>Auckland Region</v>
    <v>d8789fe9-89c8-cf4c-4ab2-749138d529af</v>
    <v>en-US</v>
    <v>Map</v>
  </rv>
  <rv s="1">
    <fb>559</fb>
    <v>8</v>
  </rv>
  <rv s="0">
    <v>536870912</v>
    <v>New Zealand</v>
    <v>6517d967-9362-4c0d-83d2-cf369fa5fcda</v>
    <v>en-US</v>
    <v>Map</v>
  </rv>
  <rv s="2">
    <v>46</v>
    <v>6</v>
    <v>219</v>
    <v>7</v>
    <v>0</v>
    <v>Image of Auckland</v>
  </rv>
  <rv s="1">
    <fb>-36.85</fb>
    <v>9</v>
  </rv>
  <rv s="0">
    <v>805306368</v>
    <v>Wayne Brown (Mayor)</v>
    <v>6be8bbd4-02b7-8c54-86d4-b8b500f11d80</v>
    <v>en-US</v>
    <v>Generic</v>
  </rv>
  <rv s="0">
    <v>805306368</v>
    <v>Desley Simpson (Deputy mayor)</v>
    <v>4da2b9e6-7732-d727-7d26-20e947720822</v>
    <v>en-US</v>
    <v>Generic</v>
  </rv>
  <rv s="3">
    <v>96</v>
  </rv>
  <rv s="4">
    <v>https://www.bing.com/search?q=auckland+new+zealand&amp;form=skydnc</v>
    <v>Learn more on Bing</v>
  </rv>
  <rv s="1">
    <fb>174.78333333333001</fb>
    <v>9</v>
  </rv>
  <rv s="1">
    <fb>1470100</fb>
    <v>8</v>
  </rv>
  <rv s="3">
    <v>97</v>
  </rv>
  <rv s="12">
    <v>#VALUE!</v>
    <v>en-US</v>
    <v>49fabed5-6ff0-6935-ebef-34c7b83444c6</v>
    <v>536870912</v>
    <v>1</v>
    <v>220</v>
    <v>64</v>
    <v>Auckland</v>
    <v>4</v>
    <v>5</v>
    <v>Map</v>
    <v>6</v>
    <v>20</v>
    <v>1209</v>
    <v>1210</v>
    <v>1211</v>
    <v>Auckland is a large metropolitan city in the North Island of New Zealand. It has an urban population of about 1,478,800. It is located in the greater Auckland Region, the area governed by Auckland Council, which includes outlying rural areas and ...</v>
    <v>1212</v>
    <v>1213</v>
    <v>1216</v>
    <v>1217</v>
    <v>1218</v>
    <v>Auckland</v>
    <v>1219</v>
    <v>1220</v>
    <v>Auckland</v>
    <v>mdp/vdpid/8929526486428286977</v>
  </rv>
</rvData>
</file>

<file path=xl/richData/rdrichvaluestructure.xml><?xml version="1.0" encoding="utf-8"?>
<rvStructures xmlns="http://schemas.microsoft.com/office/spreadsheetml/2017/richdata" count="27">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argest city" t="r"/>
    <k n="Leader(s)" t="r"/>
    <k n="LearnMoreOnLink" t="r"/>
    <k n="Name" t="s"/>
    <k n="Official language" t="r"/>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2 (County/district/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s"/>
    <k n="Country/region" t="r"/>
    <k n="Description" t="s"/>
    <k n="Image" t="r"/>
    <k n="Leader(s)"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Image" t="r"/>
    <k n="Largest city"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Image" t="r"/>
    <k n="Largest city"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Image" t="r"/>
    <k n="Leader(s)"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Building permits" t="r"/>
    <k n="Capital/Major City" t="r"/>
    <k n="Country/region" t="r"/>
    <k n="Description" t="s"/>
    <k n="Households" t="r"/>
    <k n="Housing units" t="r"/>
    <k n="Image" t="r"/>
    <k n="Largest city" t="r"/>
    <k n="Leader(s)" t="r"/>
    <k n="LearnMoreOnLink" t="r"/>
    <k n="Median gross rent" t="r"/>
    <k n="Median household income" t="r"/>
    <k n="Median value, owner-occupied housing units" t="r"/>
    <k n="Name" t="s"/>
    <k n="Official language" t="r"/>
    <k n="Persons per household" t="r"/>
    <k n="Population" t="r"/>
    <k n="Population change (%)" t="r"/>
    <k n="Population: Age 65+ (%)" t="r"/>
    <k n="Population: American Indian and Alaskan Native (%)" t="r"/>
    <k n="Population: Asian (%)" t="r"/>
    <k n="Population: Bachelor's degree or higher (%)" t="r"/>
    <k n="Population: Black or African American (%)" t="r"/>
    <k n="Population: Foreign born persons (%)" t="r"/>
    <k n="Population: High school graduate or higher (%)" t="r"/>
    <k n="Population: Hispanic or Latino (%)" t="r"/>
    <k n="Population: In civilian labor force (%)" t="r"/>
    <k n="Population: Native Hawaiian and Other Pacific Islander (%)" t="r"/>
    <k n="Population: Persons with a disability (%)" t="r"/>
    <k n="Population: Two or more races (%)" t="r"/>
    <k n="Population: Under age 18 (%)" t="r"/>
    <k n="Population: Under age 5 (%)" t="r"/>
    <k n="Population: White (%)"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apital/Major City" t="r"/>
    <k n="Country/region" t="r"/>
    <k n="Description" t="s"/>
    <k n="Households" t="r"/>
    <k n="Housing units" t="r"/>
    <k n="Image" t="r"/>
    <k n="Leader(s)" t="r"/>
    <k n="LearnMoreOnLink" t="r"/>
    <k n="Name" t="s"/>
    <k n="Official language"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rgest city" t="r"/>
    <k n="LearnMoreOnLink" t="r"/>
    <k n="Name" t="s"/>
    <k n="Population" t="r"/>
    <k n="Time zone(s)" t="r"/>
    <k n="UniqueName" t="s"/>
  </s>
  <s t="_linkedentity2core">
    <k n="_CRID" t="e"/>
    <k n="%EntityCulture" t="s"/>
    <k n="%EntityId" t="s"/>
    <k n="%EntityServiceId" t="i"/>
    <k n="%IsRefreshable" t="b"/>
    <k n="_Attribution" t="spb"/>
    <k n="_Display" t="spb"/>
    <k n="_DisplayString" t="s"/>
    <k n="_Flags" t="spb"/>
    <k n="_Format" t="spb"/>
    <k n="_Icon" t="s"/>
    <k n="_Provider" t="spb"/>
    <k n="_SubLabel" t="spb"/>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Image" t="r"/>
    <k n="Leader(s)" t="r"/>
    <k n="LearnMoreOnLink" t="r"/>
    <k n="Name" t="s"/>
    <k n="Population" t="r"/>
    <k n="UniqueName" t="s"/>
    <k n="VDPID/VSID" t="s"/>
  </s>
</rvStructures>
</file>

<file path=xl/richData/rdsupportingpropertybag.xml><?xml version="1.0" encoding="utf-8"?>
<supportingPropertyBags xmlns="http://schemas.microsoft.com/office/spreadsheetml/2017/richdata2">
  <spbArrays count="2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3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Country/region</v>
      <v t="s">Leader(s)</v>
      <v t="s">_SubLabel</v>
      <v t="s">Population</v>
      <v t="s">Area</v>
      <v t="s">Latitude</v>
      <v t="s">Longitude</v>
      <v t="s">Time zone(s)</v>
      <v t="s">_Flags</v>
      <v t="s">VDPID/VSID</v>
      <v t="s">UniqueName</v>
      <v t="s">_DisplayString</v>
      <v t="s">LearnMoreOnLink</v>
      <v t="s">Image</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Capital/Major City</v>
      <v t="s">Leader(s)</v>
      <v t="s">Country/region</v>
      <v t="s">_SubLabel</v>
      <v t="s">Population</v>
      <v t="s">Area</v>
      <v t="s">Abbreviation</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Households</v>
      <v t="s">Persons per household</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_SubLabel</v>
      <v t="s">Population</v>
      <v t="s">Area</v>
      <v t="s">Latitude</v>
      <v t="s">Longitude</v>
      <v t="s">Time zone(s)</v>
      <v t="s">_Flags</v>
      <v t="s">VDPID/VSID</v>
      <v t="s">UniqueName</v>
      <v t="s">_DisplayString</v>
      <v t="s">LearnMoreOnLink</v>
      <v t="s">Image</v>
      <v t="s">Description</v>
    </a>
    <a count="24">
      <v t="s">%EntityServiceId</v>
      <v t="s">%IsRefreshable</v>
      <v t="s">%EntityCulture</v>
      <v t="s">%EntityId</v>
      <v t="s">_Icon</v>
      <v t="s">_Provider</v>
      <v t="s">_Attribution</v>
      <v t="s">_Display</v>
      <v t="s">Name</v>
      <v t="s">_Format</v>
      <v t="s">Country/region</v>
      <v t="s">_SubLabel</v>
      <v t="s">Population</v>
      <v t="s">Area</v>
      <v t="s">Abbreviation</v>
      <v t="s">Official language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Leader(s)</v>
      <v t="s">Country/region</v>
      <v t="s">_SubLabel</v>
      <v t="s">Population</v>
      <v t="s">Area</v>
      <v t="s">Abbreviation</v>
      <v t="s">Households</v>
      <v t="s">Time zone(s)</v>
      <v t="s">_Flags</v>
      <v t="s">VDPID/VSID</v>
      <v t="s">UniqueName</v>
      <v t="s">_DisplayString</v>
      <v t="s">LearnMoreOnLink</v>
      <v t="s">Image</v>
      <v t="s">Description</v>
    </a>
    <a count="50">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Official language</v>
      <v t="s">Population change (%)</v>
      <v t="s">Households</v>
      <v t="s">Housing units</v>
      <v t="s">Persons per household</v>
      <v t="s">Median household income</v>
      <v t="s">Median value, owner-occupied housing units</v>
      <v t="s">Median gross rent</v>
      <v t="s">Building permits</v>
      <v t="s">Population: Under age 5 (%)</v>
      <v t="s">Population: Under age 18 (%)</v>
      <v t="s">Population: Age 65+ (%)</v>
      <v t="s">Population: Persons with a disability (%)</v>
      <v t="s">Population: Bachelor's degree or higher (%)</v>
      <v t="s">Population: High school graduate or higher (%)</v>
      <v t="s">Population: In civilian labor force (%)</v>
      <v t="s">Population: Foreign born persons (%)</v>
      <v t="s">Population: American Indian and Alaskan Native (%)</v>
      <v t="s">Population: Asian (%)</v>
      <v t="s">Population: Black or African American (%)</v>
      <v t="s">Population: Hispanic or Latino (%)</v>
      <v t="s">Population: Native Hawaiian and Other Pacific Islander (%)</v>
      <v t="s">Population: White (%)</v>
      <v t="s">Population: Two or more races (%)</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Country/region</v>
      <v t="s">Leader(s)</v>
      <v t="s">_SubLabel</v>
      <v t="s">Population</v>
      <v t="s">Area</v>
      <v t="s">Latitude</v>
      <v t="s">Longitude</v>
      <v t="s">Time zone(s)</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Official language</v>
      <v t="s">Households</v>
      <v t="s">Housing units</v>
      <v t="s">Time zone(s)</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Largest city</v>
      <v t="s">_Flags</v>
      <v t="s">UniqueName</v>
      <v t="s">_DisplayString</v>
      <v t="s">LearnMoreOnLink</v>
      <v t="s">Time zone(s)</v>
      <v t="s">Image</v>
      <v t="s">Description</v>
    </a>
    <a count="24">
      <v t="s">%EntityServiceId</v>
      <v t="s">%IsRefreshable</v>
      <v t="s">%EntityCulture</v>
      <v t="s">%EntityId</v>
      <v t="s">_Icon</v>
      <v t="s">_Provider</v>
      <v t="s">_Attribution</v>
      <v t="s">_Display</v>
      <v t="s">Name</v>
      <v t="s">_Format</v>
      <v t="s">Country/region</v>
      <v t="s">Leader(s)</v>
      <v t="s">_SubLabel</v>
      <v t="s">Population</v>
      <v t="s">Area</v>
      <v t="s">Latitude</v>
      <v t="s">Longitude</v>
      <v t="s">_Flags</v>
      <v t="s">VDPID/VSID</v>
      <v t="s">UniqueName</v>
      <v t="s">_DisplayString</v>
      <v t="s">LearnMoreOnLink</v>
      <v t="s">Image</v>
      <v t="s">Description</v>
    </a>
    <a count="23">
      <v t="s">%EntityServiceId</v>
      <v t="s">%IsRefreshable</v>
      <v t="s">%EntityCulture</v>
      <v t="s">%EntityId</v>
      <v t="s">_Icon</v>
      <v t="s">_Provider</v>
      <v t="s">_Attribution</v>
      <v t="s">_Display</v>
      <v t="s">Name</v>
      <v t="s">_Format</v>
      <v t="s">Leader(s)</v>
      <v t="s">Country/region</v>
      <v t="s">_SubLabel</v>
      <v t="s">Population</v>
      <v t="s">Area</v>
      <v t="s">Abbreviation</v>
      <v t="s">_Flags</v>
      <v t="s">VDPID/VSID</v>
      <v t="s">UniqueName</v>
      <v t="s">_DisplayString</v>
      <v t="s">LearnMoreOnLink</v>
      <v t="s">Image</v>
      <v t="s">Description</v>
    </a>
  </spbArrays>
  <spbData count="221">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2022</v>
    </spb>
    <spb s="8">
      <v>3</v>
    </spb>
    <spb s="8">
      <v>4</v>
    </spb>
    <spb s="0">
      <v xml:space="preserve">Wikipedia	</v>
      <v xml:space="preserve">CC BY-SA 3.0	</v>
      <v xml:space="preserve">https://en.wikipedia.org/wiki/England	</v>
      <v xml:space="preserve">https://creativecommons.org/licenses/by-sa/3.0	</v>
    </spb>
    <spb s="0">
      <v xml:space="preserve">ons.gov.uk	</v>
      <v xml:space="preserve">	</v>
      <v xml:space="preserve">https://www.ons.gov.uk/file?uri=/peoplepopulationandcommunity/populationandmigration/populationestimates/datasets/populationestimatesforukenglandandwalesscotlandandnorthernireland/mid2012tomid2016/ukmidyearestimates20122016.xls	</v>
      <v xml:space="preserve">	</v>
    </spb>
    <spb s="0">
      <v xml:space="preserve">Wikipedia	</v>
      <v xml:space="preserve">CC-BY-SA	</v>
      <v xml:space="preserve">http://en.wikipedia.org/wiki/England	</v>
      <v xml:space="preserve">http://creativecommons.org/licenses/by-sa/3.0/	</v>
    </spb>
    <spb s="9">
      <v>10</v>
      <v>10</v>
      <v>11</v>
      <v>10</v>
      <v>10</v>
      <v>10</v>
      <v>12</v>
      <v>10</v>
      <v>11</v>
      <v>10</v>
      <v>10</v>
      <v>11</v>
    </spb>
    <spb s="2">
      <v>1</v>
      <v>Name</v>
      <v>LearnMoreOnLink</v>
    </spb>
    <spb s="10">
      <v>square km</v>
      <v>2011</v>
      <v>2022</v>
      <v>2011</v>
      <v>2011</v>
    </spb>
    <spb s="8">
      <v>5</v>
    </spb>
    <spb s="0">
      <v xml:space="preserve">Wikipedia	</v>
      <v xml:space="preserve">CC BY-SA 3.0	</v>
      <v xml:space="preserve">https://en.wikipedia.org/wiki/Phuket_(city)	</v>
      <v xml:space="preserve">https://creativecommons.org/licenses/by-sa/3.0	</v>
    </spb>
    <spb s="11">
      <v>17</v>
      <v>17</v>
      <v>17</v>
      <v>17</v>
      <v>17</v>
      <v>17</v>
      <v>17</v>
      <v>17</v>
      <v>17</v>
    </spb>
    <spb s="2">
      <v>2</v>
      <v>Name</v>
      <v>LearnMoreOnLink</v>
    </spb>
    <spb s="7">
      <v>square km</v>
      <v>2020</v>
    </spb>
    <spb s="0">
      <v xml:space="preserve">data.worldbank.org	</v>
      <v xml:space="preserve">	</v>
      <v xml:space="preserve">http://data.worldbank.org/indicator/FP.CPI.TOTL	</v>
      <v xml:space="preserve">	</v>
    </spb>
    <spb s="0">
      <v xml:space="preserve">Wikipedia	Cia	travel.state.gov	</v>
      <v xml:space="preserve">CC-BY-SA			</v>
      <v xml:space="preserve">http://en.wikipedia.org/wiki/Thailand	https://www.cia.gov/library/publications/the-world-factbook/geos/th.html?Transportation	https://travel.state.gov/content/travel/en/international-travel/International-Travel-Country-Information-Pages/Thailand.html	</v>
      <v xml:space="preserve">http://creativecommons.org/licenses/by-sa/3.0/			</v>
    </spb>
    <spb s="0">
      <v xml:space="preserve">Wikipedia	</v>
      <v xml:space="preserve">CC BY-SA 3.0	</v>
      <v xml:space="preserve">https://en.wikipedia.org/wiki/Thailand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http://en.wikipedia.org/wiki/Thailand	</v>
      <v xml:space="preserve">http://creativecommons.org/licenses/by-sa/3.0/	</v>
    </spb>
    <spb s="0">
      <v xml:space="preserve">Cia	</v>
      <v xml:space="preserve">	</v>
      <v xml:space="preserve">https://www.cia.gov/library/publications/the-world-factbook/geos/th.html?Transportation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2">
      <v>21</v>
      <v>22</v>
      <v>23</v>
      <v>23</v>
      <v>24</v>
      <v>23</v>
      <v>23</v>
      <v>23</v>
      <v>25</v>
      <v>23</v>
      <v>23</v>
      <v>25</v>
      <v>23</v>
      <v>23</v>
      <v>26</v>
      <v>27</v>
      <v>22</v>
      <v>26</v>
      <v>28</v>
      <v>23</v>
      <v>26</v>
      <v>29</v>
      <v>30</v>
      <v>31</v>
      <v>26</v>
      <v>26</v>
      <v>23</v>
      <v>26</v>
      <v>32</v>
      <v>33</v>
      <v>34</v>
      <v>35</v>
      <v>26</v>
      <v>22</v>
      <v>26</v>
      <v>26</v>
      <v>26</v>
      <v>26</v>
      <v>26</v>
      <v>26</v>
      <v>26</v>
      <v>26</v>
      <v>26</v>
      <v>26</v>
      <v>36</v>
    </spb>
    <spb s="2">
      <v>3</v>
      <v>Name</v>
      <v>LearnMoreOnLink</v>
    </spb>
    <spb s="13">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2018</v>
      <v>2016</v>
      <v>2019</v>
    </spb>
    <spb s="8">
      <v>6</v>
    </spb>
    <spb s="8">
      <v>7</v>
    </spb>
    <spb s="8">
      <v>8</v>
    </spb>
    <spb s="8">
      <v>9</v>
    </spb>
    <spb s="8">
      <v>10</v>
    </spb>
    <spb s="8">
      <v>11</v>
    </spb>
    <spb s="8">
      <v>12</v>
    </spb>
    <spb s="0">
      <v xml:space="preserve">Wikipedia	</v>
      <v xml:space="preserve">CC BY-SA 3.0	</v>
      <v xml:space="preserve">https://en.wikipedia.org/wiki/Bangkok	</v>
      <v xml:space="preserve">https://creativecommons.org/licenses/by-sa/3.0	</v>
    </spb>
    <spb s="0">
      <v xml:space="preserve">Wikipedia	</v>
      <v xml:space="preserve">CC-BY-SA	</v>
      <v xml:space="preserve">http://en.wikipedia.org/wiki/Bangkok	</v>
      <v xml:space="preserve">http://creativecommons.org/licenses/by-sa/3.0/	</v>
    </spb>
    <spb s="14">
      <v>47</v>
      <v>47</v>
      <v>47</v>
      <v>47</v>
      <v>47</v>
      <v>48</v>
      <v>47</v>
    </spb>
    <spb s="2">
      <v>4</v>
      <v>Name</v>
      <v>LearnMoreOnLink</v>
    </spb>
    <spb s="7">
      <v>square km</v>
      <v>2018</v>
    </spb>
    <spb s="0">
      <v xml:space="preserve">Wikipedia	</v>
      <v xml:space="preserve">CC BY-SA 3.0	</v>
      <v xml:space="preserve">https://en.wikipedia.org/wiki/Bali	</v>
      <v xml:space="preserve">https://creativecommons.org/licenses/by-sa/3.0	</v>
    </spb>
    <spb s="0">
      <v xml:space="preserve">sp2010.bps.go.id	</v>
      <v xml:space="preserve">	</v>
      <v xml:space="preserve">https://sp2010.bps.go.id/index.php/site/tabel?tid=336&amp;wid=0000000000&amp;lang=en	</v>
      <v xml:space="preserve">	</v>
    </spb>
    <spb s="0">
      <v xml:space="preserve">Wikipedia	</v>
      <v xml:space="preserve">CC-BY-SA	</v>
      <v xml:space="preserve">http://en.wikipedia.org/wiki/Bali	</v>
      <v xml:space="preserve">http://creativecommons.org/licenses/by-sa/3.0/	</v>
    </spb>
    <spb s="15">
      <v>52</v>
      <v>52</v>
      <v>53</v>
      <v>52</v>
      <v>52</v>
      <v>52</v>
      <v>54</v>
      <v>52</v>
      <v>52</v>
      <v>52</v>
      <v>53</v>
    </spb>
    <spb s="2">
      <v>5</v>
      <v>Name</v>
      <v>LearnMoreOnLink</v>
    </spb>
    <spb s="16">
      <v>square km</v>
      <v>2010</v>
      <v>2021</v>
      <v>2010</v>
    </spb>
    <spb s="0">
      <v xml:space="preserve">Wikipedia	</v>
      <v xml:space="preserve">CC BY-SA 3.0	</v>
      <v xml:space="preserve">https://en.wikipedia.org/wiki/Denpasar	</v>
      <v xml:space="preserve">https://creativecommons.org/licenses/by-sa/3.0	</v>
    </spb>
    <spb s="17">
      <v>58</v>
      <v>58</v>
      <v>58</v>
      <v>58</v>
      <v>58</v>
      <v>58</v>
      <v>58</v>
      <v>58</v>
      <v>58</v>
    </spb>
    <spb s="2">
      <v>6</v>
      <v>Name</v>
      <v>LearnMoreOnLink</v>
    </spb>
    <spb s="7">
      <v>square km</v>
      <v>2017</v>
    </spb>
    <spb s="0">
      <v xml:space="preserve">Wikipedia	</v>
      <v xml:space="preserve">CC BY-SA 3.0	</v>
      <v xml:space="preserve">https://en.wikipedia.org/wiki/New_York_City	</v>
      <v xml:space="preserve">https://creativecommons.org/licenses/by-sa/3.0	</v>
    </spb>
    <spb s="17">
      <v>62</v>
      <v>62</v>
      <v>62</v>
      <v>62</v>
      <v>62</v>
      <v>62</v>
      <v>62</v>
      <v>62</v>
      <v>62</v>
    </spb>
    <spb s="2">
      <v>7</v>
      <v>Name</v>
      <v>LearnMoreOnLink</v>
    </spb>
    <spb s="0">
      <v xml:space="preserve">Wikipedia	</v>
      <v xml:space="preserve">CC BY-SA 3.0	</v>
      <v xml:space="preserve">https://en.wikipedia.org/wiki/Tokyo	</v>
      <v xml:space="preserve">https://creativecommons.org/licenses/by-sa/3.0	</v>
    </spb>
    <spb s="0">
      <v xml:space="preserve">Wikipedia	</v>
      <v xml:space="preserve">CC-BY-SA	</v>
      <v xml:space="preserve">http://en.wikipedia.org/wiki/Tokyo	</v>
      <v xml:space="preserve">http://creativecommons.org/licenses/by-sa/3.0/	</v>
    </spb>
    <spb s="18">
      <v>65</v>
      <v>65</v>
      <v>65</v>
      <v>65</v>
      <v>65</v>
      <v>66</v>
      <v>65</v>
      <v>65</v>
      <v>65</v>
    </spb>
    <spb s="2">
      <v>8</v>
      <v>Name</v>
      <v>LearnMoreOnLink</v>
    </spb>
    <spb s="7">
      <v>square km</v>
      <v>2024</v>
    </spb>
    <spb s="0">
      <v xml:space="preserve">Wikipedia	Cia	travel.state.gov	</v>
      <v xml:space="preserve">CC-BY-SA			</v>
      <v xml:space="preserve">http://en.wikipedia.org/wiki/Japan	https://www.cia.gov/library/publications/the-world-factbook/geos/ja.html?Transportation	https://travel.state.gov/content/travel/en/international-travel/International-Travel-Country-Information-Pages/Japan.html	</v>
      <v xml:space="preserve">http://creativecommons.org/licenses/by-sa/3.0/			</v>
    </spb>
    <spb s="0">
      <v xml:space="preserve">Wikipedia	</v>
      <v xml:space="preserve">CC BY-SA 3.0	</v>
      <v xml:space="preserve">https://en.wikipedia.org/wiki/Japan	</v>
      <v xml:space="preserve">https://creativecommons.org/licenses/by-sa/3.0	</v>
    </spb>
    <spb s="0">
      <v xml:space="preserve">Wikipedia	</v>
      <v xml:space="preserve">CC-BY-SA	</v>
      <v xml:space="preserve">http://en.wikipedia.org/wiki/Japan	</v>
      <v xml:space="preserve">http://creativecommons.org/licenses/by-sa/3.0/	</v>
    </spb>
    <spb s="0">
      <v xml:space="preserve">Cia	</v>
      <v xml:space="preserve">	</v>
      <v xml:space="preserve">https://www.cia.gov/library/publications/the-world-factbook/geos/ja.html?Transportation	</v>
      <v xml:space="preserve">	</v>
    </spb>
    <spb s="12">
      <v>21</v>
      <v>70</v>
      <v>71</v>
      <v>71</v>
      <v>24</v>
      <v>71</v>
      <v>71</v>
      <v>71</v>
      <v>72</v>
      <v>71</v>
      <v>71</v>
      <v>72</v>
      <v>71</v>
      <v>71</v>
      <v>73</v>
      <v>27</v>
      <v>70</v>
      <v>73</v>
      <v>28</v>
      <v>71</v>
      <v>73</v>
      <v>29</v>
      <v>30</v>
      <v>31</v>
      <v>73</v>
      <v>73</v>
      <v>71</v>
      <v>73</v>
      <v>32</v>
      <v>33</v>
      <v>34</v>
      <v>35</v>
      <v>73</v>
      <v>70</v>
      <v>73</v>
      <v>73</v>
      <v>73</v>
      <v>73</v>
      <v>73</v>
      <v>73</v>
      <v>73</v>
      <v>73</v>
      <v>73</v>
      <v>73</v>
      <v>36</v>
    </spb>
    <spb s="13">
      <v>2019</v>
      <v>2019</v>
      <v>square km</v>
      <v>per thousand (2018)</v>
      <v>2022</v>
      <v>2019</v>
      <v>2018</v>
      <v>per liter (2016)</v>
      <v>2019</v>
      <v>years (2018)</v>
      <v>2018</v>
      <v>per thousand (2018)</v>
      <v>2019</v>
      <v>2017</v>
      <v>2016</v>
      <v>2019</v>
      <v>2016</v>
      <v>2016</v>
      <v>kilotons per year (2016)</v>
      <v>deaths per 100,000 (2017)</v>
      <v>kWh (2014)</v>
      <v>2015</v>
      <v>2019</v>
      <v>2013</v>
      <v>2013</v>
      <v>2013</v>
      <v>2013</v>
      <v>2013</v>
      <v>2015</v>
      <v>2013</v>
      <v>2013</v>
      <v>2015</v>
      <v>2015</v>
      <v>2019</v>
    </spb>
    <spb s="0">
      <v xml:space="preserve">Wikipedia	</v>
      <v xml:space="preserve">CC BY-SA 3.0	</v>
      <v xml:space="preserve">https://en.wikipedia.org/wiki/Paris	</v>
      <v xml:space="preserve">https://creativecommons.org/licenses/by-sa/3.0	</v>
    </spb>
    <spb s="1">
      <v>76</v>
      <v>76</v>
      <v>76</v>
      <v>76</v>
      <v>76</v>
      <v>76</v>
      <v>76</v>
      <v>76</v>
      <v>76</v>
      <v>76</v>
    </spb>
    <spb s="7">
      <v>square km</v>
      <v>2025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v>
      <v xml:space="preserve">CC BY-SA 3.0	</v>
      <v xml:space="preserve">https://en.wikipedia.org/wiki/France	</v>
      <v xml:space="preserve">https://creativecommons.org/licenses/by-sa/3.0	</v>
    </spb>
    <spb s="0">
      <v xml:space="preserve">Wikipedia	</v>
      <v xml:space="preserve">CC-BY-SA	</v>
      <v xml:space="preserve">http://en.wikipedia.org/wiki/France	</v>
      <v xml:space="preserve">http://creativecommons.org/licenses/by-sa/3.0/	</v>
    </spb>
    <spb s="0">
      <v xml:space="preserve">Cia	</v>
      <v xml:space="preserve">	</v>
      <v xml:space="preserve">https://www.cia.gov/library/publications/the-world-factbook/geos/fr.html?Transportation	</v>
      <v xml:space="preserve">	</v>
    </spb>
    <spb s="12">
      <v>21</v>
      <v>79</v>
      <v>80</v>
      <v>80</v>
      <v>24</v>
      <v>80</v>
      <v>80</v>
      <v>80</v>
      <v>81</v>
      <v>80</v>
      <v>80</v>
      <v>81</v>
      <v>80</v>
      <v>80</v>
      <v>82</v>
      <v>27</v>
      <v>79</v>
      <v>82</v>
      <v>28</v>
      <v>80</v>
      <v>82</v>
      <v>29</v>
      <v>30</v>
      <v>31</v>
      <v>82</v>
      <v>82</v>
      <v>80</v>
      <v>82</v>
      <v>32</v>
      <v>33</v>
      <v>34</v>
      <v>35</v>
      <v>82</v>
      <v>79</v>
      <v>82</v>
      <v>82</v>
      <v>82</v>
      <v>82</v>
      <v>82</v>
      <v>82</v>
      <v>82</v>
      <v>82</v>
      <v>82</v>
      <v>82</v>
      <v>36</v>
    </spb>
    <spb s="13">
      <v>2019</v>
      <v>2019</v>
      <v>square km</v>
      <v>per thousand (2018)</v>
      <v>2021</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0">
      <v xml:space="preserve">Wikipedia	</v>
      <v xml:space="preserve">CC BY-SA 3.0	</v>
      <v xml:space="preserve">https://en.wikipedia.org/wiki/Sydney	</v>
      <v xml:space="preserve">https://creativecommons.org/licenses/by-sa/3.0	</v>
    </spb>
    <spb s="17">
      <v>85</v>
      <v>85</v>
      <v>85</v>
      <v>85</v>
      <v>85</v>
      <v>85</v>
      <v>85</v>
      <v>85</v>
      <v>85</v>
    </spb>
    <spb s="2">
      <v>9</v>
      <v>Name</v>
      <v>LearnMoreOnLink</v>
    </spb>
    <spb s="7">
      <v>square km</v>
      <v>2021</v>
    </spb>
    <spb s="0">
      <v xml:space="preserve">Wikipedia	Cia	travel.state.gov	</v>
      <v xml:space="preserve">CC-BY-SA			</v>
      <v xml:space="preserve">http://en.wikipedia.org/wiki/Australia	https://www.cia.gov/library/publications/the-world-factbook/geos/as.html?Transportation	https://travel.state.gov/content/travel/en/international-travel/International-Travel-Country-Information-Pages/Australia.html	</v>
      <v xml:space="preserve">http://creativecommons.org/licenses/by-sa/3.0/			</v>
    </spb>
    <spb s="0">
      <v xml:space="preserve">Wikipedia	</v>
      <v xml:space="preserve">CC BY-SA 3.0	</v>
      <v xml:space="preserve">https://en.wikipedia.org/wiki/Australia	</v>
      <v xml:space="preserve">https://creativecommons.org/licenses/by-sa/3.0	</v>
    </spb>
    <spb s="0">
      <v xml:space="preserve">Wikipedia	</v>
      <v xml:space="preserve">CC-BY-SA	</v>
      <v xml:space="preserve">http://en.wikipedia.org/wiki/Australia	</v>
      <v xml:space="preserve">http://creativecommons.org/licenses/by-sa/3.0/	</v>
    </spb>
    <spb s="0">
      <v xml:space="preserve">Cia	</v>
      <v xml:space="preserve">	</v>
      <v xml:space="preserve">https://www.cia.gov/library/publications/the-world-factbook/geos/as.html?Transportation	</v>
      <v xml:space="preserve">	</v>
    </spb>
    <spb s="12">
      <v>21</v>
      <v>89</v>
      <v>90</v>
      <v>90</v>
      <v>24</v>
      <v>90</v>
      <v>90</v>
      <v>90</v>
      <v>91</v>
      <v>90</v>
      <v>90</v>
      <v>91</v>
      <v>90</v>
      <v>90</v>
      <v>92</v>
      <v>27</v>
      <v>89</v>
      <v>92</v>
      <v>28</v>
      <v>90</v>
      <v>92</v>
      <v>29</v>
      <v>30</v>
      <v>31</v>
      <v>92</v>
      <v>92</v>
      <v>90</v>
      <v>92</v>
      <v>32</v>
      <v>33</v>
      <v>34</v>
      <v>35</v>
      <v>92</v>
      <v>89</v>
      <v>92</v>
      <v>92</v>
      <v>92</v>
      <v>92</v>
      <v>92</v>
      <v>92</v>
      <v>92</v>
      <v>92</v>
      <v>92</v>
      <v>92</v>
      <v>36</v>
    </spb>
    <spb s="13">
      <v>2019</v>
      <v>2019</v>
      <v>square km</v>
      <v>per thousand (2018)</v>
      <v>2022</v>
      <v>2019</v>
      <v>2018</v>
      <v>per liter (2016)</v>
      <v>2019</v>
      <v>years (2018)</v>
      <v>2018</v>
      <v>per thousand (2018)</v>
      <v>2019</v>
      <v>2017</v>
      <v>2016</v>
      <v>2019</v>
      <v>2016</v>
      <v>2017</v>
      <v>kilotons per year (2016)</v>
      <v>deaths per 100,000 (2017)</v>
      <v>kWh (2014)</v>
      <v>2015</v>
      <v>2019</v>
      <v>2014</v>
      <v>2014</v>
      <v>2014</v>
      <v>2014</v>
      <v>2014</v>
      <v>2014</v>
      <v>2014</v>
      <v>2014</v>
      <v>2017</v>
      <v>2017</v>
      <v>2019</v>
    </spb>
    <spb s="0">
      <v xml:space="preserve">Wikipedia	</v>
      <v xml:space="preserve">CC BY-SA 3.0	</v>
      <v xml:space="preserve">https://en.wikipedia.org/wiki/Canberra	</v>
      <v xml:space="preserve">https://creativecommons.org/licenses/by-sa/3.0	</v>
    </spb>
    <spb s="17">
      <v>95</v>
      <v>95</v>
      <v>95</v>
      <v>95</v>
      <v>95</v>
      <v>95</v>
      <v>95</v>
      <v>95</v>
      <v>95</v>
    </spb>
    <spb s="2">
      <v>10</v>
      <v>Name</v>
      <v>LearnMoreOnLink</v>
    </spb>
    <spb s="7">
      <v>square km</v>
      <v>2023</v>
    </spb>
    <spb s="0">
      <v xml:space="preserve">Wikipedia	</v>
      <v xml:space="preserve">CC BY-SA 3.0	</v>
      <v xml:space="preserve">https://en.wikipedia.org/wiki/Rio_de_Janeiro	</v>
      <v xml:space="preserve">https://creativecommons.org/licenses/by-sa/3.0	</v>
    </spb>
    <spb s="17">
      <v>99</v>
      <v>99</v>
      <v>99</v>
      <v>99</v>
      <v>99</v>
      <v>99</v>
      <v>99</v>
      <v>99</v>
      <v>99</v>
    </spb>
    <spb s="0">
      <v xml:space="preserve">Wikipedia	Cia	travel.state.gov	</v>
      <v xml:space="preserve">CC-BY-SA			</v>
      <v xml:space="preserve">http://en.wikipedia.org/wiki/Brazil	https://www.cia.gov/library/publications/the-world-factbook/geos/br.html?Transportation	https://travel.state.gov/content/travel/en/international-travel/International-Travel-Country-Information-Pages/Brazil.html	</v>
      <v xml:space="preserve">http://creativecommons.org/licenses/by-sa/3.0/			</v>
    </spb>
    <spb s="0">
      <v xml:space="preserve">Wikipedia	</v>
      <v xml:space="preserve">CC BY-SA 3.0	</v>
      <v xml:space="preserve">https://en.wikipedia.org/wiki/Brazil	</v>
      <v xml:space="preserve">https://creativecommons.org/licenses/by-sa/3.0	</v>
    </spb>
    <spb s="0">
      <v xml:space="preserve">Wikipedia	</v>
      <v xml:space="preserve">CC-BY-SA	</v>
      <v xml:space="preserve">http://en.wikipedia.org/wiki/Brazil	</v>
      <v xml:space="preserve">http://creativecommons.org/licenses/by-sa/3.0/	</v>
    </spb>
    <spb s="0">
      <v xml:space="preserve">Cia	</v>
      <v xml:space="preserve">	</v>
      <v xml:space="preserve">https://www.cia.gov/library/publications/the-world-factbook/geos/br.html?Transportation	</v>
      <v xml:space="preserve">	</v>
    </spb>
    <spb s="12">
      <v>21</v>
      <v>101</v>
      <v>102</v>
      <v>102</v>
      <v>24</v>
      <v>102</v>
      <v>102</v>
      <v>102</v>
      <v>103</v>
      <v>102</v>
      <v>102</v>
      <v>103</v>
      <v>102</v>
      <v>102</v>
      <v>104</v>
      <v>27</v>
      <v>101</v>
      <v>104</v>
      <v>28</v>
      <v>102</v>
      <v>104</v>
      <v>29</v>
      <v>30</v>
      <v>31</v>
      <v>104</v>
      <v>104</v>
      <v>102</v>
      <v>104</v>
      <v>32</v>
      <v>33</v>
      <v>34</v>
      <v>35</v>
      <v>104</v>
      <v>101</v>
      <v>104</v>
      <v>104</v>
      <v>104</v>
      <v>104</v>
      <v>104</v>
      <v>104</v>
      <v>104</v>
      <v>104</v>
      <v>104</v>
      <v>104</v>
      <v>36</v>
    </spb>
    <spb s="13">
      <v>2019</v>
      <v>2019</v>
      <v>square km</v>
      <v>per thousand (2018)</v>
      <v>2022</v>
      <v>2019</v>
      <v>2018</v>
      <v>per liter (2016)</v>
      <v>2019</v>
      <v>years (2018)</v>
      <v>2018</v>
      <v>per thousand (2018)</v>
      <v>2019</v>
      <v>2017</v>
      <v>2016</v>
      <v>2019</v>
      <v>2016</v>
      <v>2018</v>
      <v>kilotons per year (2016)</v>
      <v>deaths per 100,000 (2017)</v>
      <v>kWh (2014)</v>
      <v>2014</v>
      <v>2019</v>
      <v>2018</v>
      <v>2018</v>
      <v>2018</v>
      <v>2018</v>
      <v>2018</v>
      <v>2015</v>
      <v>2018</v>
      <v>2018</v>
      <v>2017</v>
      <v>2017</v>
      <v>2019</v>
    </spb>
    <spb s="0">
      <v xml:space="preserve">Wikipedia	</v>
      <v xml:space="preserve">CC BY-SA 3.0	</v>
      <v xml:space="preserve">https://en.wikipedia.org/wiki/Bras%C3%ADlia	</v>
      <v xml:space="preserve">https://creativecommons.org/licenses/by-sa/3.0	</v>
    </spb>
    <spb s="17">
      <v>107</v>
      <v>107</v>
      <v>107</v>
      <v>107</v>
      <v>107</v>
      <v>107</v>
      <v>107</v>
      <v>107</v>
      <v>107</v>
    </spb>
    <spb s="0">
      <v xml:space="preserve">Wikipedia	</v>
      <v xml:space="preserve">CC BY-SA 3.0	</v>
      <v xml:space="preserve">https://en.wikipedia.org/wiki/Amsterdam	</v>
      <v xml:space="preserve">https://creativecommons.org/licenses/by-sa/3.0	</v>
    </spb>
    <spb s="1">
      <v>109</v>
      <v>109</v>
      <v>109</v>
      <v>109</v>
      <v>109</v>
      <v>109</v>
      <v>109</v>
      <v>109</v>
      <v>109</v>
      <v>109</v>
    </spb>
    <spb s="0">
      <v xml:space="preserve">Wikipedia	</v>
      <v xml:space="preserve">CC BY-SA 3.0	</v>
      <v xml:space="preserve">https://en.wikipedia.org/wiki/Dubai	</v>
      <v xml:space="preserve">https://creativecommons.org/licenses/by-sa/3.0	</v>
    </spb>
    <spb s="0">
      <v xml:space="preserve">Wikipedia	</v>
      <v xml:space="preserve">CC-BY-SA	</v>
      <v xml:space="preserve">http://en.wikipedia.org/wiki/Dubai	</v>
      <v xml:space="preserve">http://creativecommons.org/licenses/by-sa/3.0/	</v>
    </spb>
    <spb s="14">
      <v>111</v>
      <v>111</v>
      <v>111</v>
      <v>111</v>
      <v>111</v>
      <v>112</v>
      <v>111</v>
    </spb>
    <spb s="2">
      <v>11</v>
      <v>Name</v>
      <v>LearnMoreOnLink</v>
    </spb>
    <spb s="0">
      <v xml:space="preserve">Wikipedia	</v>
      <v xml:space="preserve">CC-BY-SA	</v>
      <v xml:space="preserve">http://en.wikipedia.org/wiki/Cancún	</v>
      <v xml:space="preserve">http://creativecommons.org/licenses/by-sa/3.0/	</v>
    </spb>
    <spb s="0">
      <v xml:space="preserve">Wikipedia	</v>
      <v xml:space="preserve">CC BY-SA 3.0	</v>
      <v xml:space="preserve">https://en.wikipedia.org/wiki/Canc%C3%BAn	</v>
      <v xml:space="preserve">https://creativecommons.org/licenses/by-sa/3.0	</v>
    </spb>
    <spb s="1">
      <v>115</v>
      <v>116</v>
      <v>116</v>
      <v>116</v>
      <v>116</v>
      <v>116</v>
      <v>116</v>
      <v>116</v>
      <v>116</v>
      <v>116</v>
    </spb>
    <spb s="0">
      <v xml:space="preserve">Wikipedia	Cia	travel.state.gov	</v>
      <v xml:space="preserve">CC-BY-SA			</v>
      <v xml:space="preserve">http://en.wikipedia.org/wiki/Mexico	https://www.cia.gov/library/publications/the-world-factbook/geos/mx.html?Transportation	https://travel.state.gov/content/travel/en/international-travel/International-Travel-Country-Information-Pages/Mexico.html	</v>
      <v xml:space="preserve">http://creativecommons.org/licenses/by-sa/3.0/			</v>
    </spb>
    <spb s="0">
      <v xml:space="preserve">Wikipedia	</v>
      <v xml:space="preserve">CC BY-SA 3.0	</v>
      <v xml:space="preserve">https://en.wikipedia.org/wiki/Mexico	</v>
      <v xml:space="preserve">https://creativecommons.org/licenses/by-sa/3.0	</v>
    </spb>
    <spb s="0">
      <v xml:space="preserve">Wikipedia	</v>
      <v xml:space="preserve">CC-BY-SA	</v>
      <v xml:space="preserve">http://en.wikipedia.org/wiki/Mexico	</v>
      <v xml:space="preserve">http://creativecommons.org/licenses/by-sa/3.0/	</v>
    </spb>
    <spb s="0">
      <v xml:space="preserve">Cia	</v>
      <v xml:space="preserve">	</v>
      <v xml:space="preserve">https://www.cia.gov/library/publications/the-world-factbook/geos/mx.html?Transportation	</v>
      <v xml:space="preserve">	</v>
    </spb>
    <spb s="12">
      <v>21</v>
      <v>118</v>
      <v>119</v>
      <v>119</v>
      <v>24</v>
      <v>119</v>
      <v>119</v>
      <v>119</v>
      <v>120</v>
      <v>119</v>
      <v>119</v>
      <v>120</v>
      <v>119</v>
      <v>119</v>
      <v>121</v>
      <v>27</v>
      <v>118</v>
      <v>121</v>
      <v>28</v>
      <v>119</v>
      <v>121</v>
      <v>29</v>
      <v>30</v>
      <v>31</v>
      <v>121</v>
      <v>121</v>
      <v>119</v>
      <v>121</v>
      <v>32</v>
      <v>33</v>
      <v>34</v>
      <v>35</v>
      <v>121</v>
      <v>118</v>
      <v>121</v>
      <v>121</v>
      <v>121</v>
      <v>121</v>
      <v>121</v>
      <v>121</v>
      <v>121</v>
      <v>121</v>
      <v>121</v>
      <v>121</v>
      <v>36</v>
    </spb>
    <spb s="13">
      <v>2019</v>
      <v>2019</v>
      <v>square km</v>
      <v>per thousand (2018)</v>
      <v>2022</v>
      <v>2019</v>
      <v>2018</v>
      <v>per liter (2016)</v>
      <v>2019</v>
      <v>years (2018)</v>
      <v>2018</v>
      <v>per thousand (2018)</v>
      <v>2019</v>
      <v>2017</v>
      <v>2016</v>
      <v>2019</v>
      <v>2016</v>
      <v>2017</v>
      <v>kilotons per year (2016)</v>
      <v>deaths per 100,000 (2017)</v>
      <v>kWh (2014)</v>
      <v>2015</v>
      <v>2019</v>
      <v>2018</v>
      <v>2018</v>
      <v>2018</v>
      <v>2018</v>
      <v>2018</v>
      <v>2015</v>
      <v>2018</v>
      <v>2018</v>
      <v>2017</v>
      <v>2017</v>
      <v>2019</v>
    </spb>
    <spb s="0">
      <v xml:space="preserve">Wikipedia	</v>
      <v xml:space="preserve">CC BY-SA 3.0	</v>
      <v xml:space="preserve">https://en.wikipedia.org/wiki/Mexico_City	</v>
      <v xml:space="preserve">https://creativecommons.org/licenses/by-sa/3.0	</v>
    </spb>
    <spb s="0">
      <v xml:space="preserve">beta.inegi.org.mx	</v>
      <v xml:space="preserve">	</v>
      <v xml:space="preserve">http://www.beta.inegi.org.mx/app/tmp/Infoenoe/Default_15mas_en.aspx#EmploymentAmount	</v>
      <v xml:space="preserve">	</v>
    </spb>
    <spb s="0">
      <v xml:space="preserve">Wikipedia	</v>
      <v xml:space="preserve">CC-BY-SA	</v>
      <v xml:space="preserve">http://en.wikipedia.org/wiki/Mexico_City	</v>
      <v xml:space="preserve">http://creativecommons.org/licenses/by-sa/3.0/	</v>
    </spb>
    <spb s="19">
      <v>124</v>
      <v>124</v>
      <v>125</v>
      <v>124</v>
      <v>124</v>
      <v>124</v>
      <v>126</v>
      <v>124</v>
    </spb>
    <spb s="2">
      <v>12</v>
      <v>Name</v>
      <v>LearnMoreOnLink</v>
    </spb>
    <spb s="20">
      <v>square km</v>
      <v>2017</v>
      <v>2020</v>
    </spb>
    <spb s="0">
      <v xml:space="preserve">Wikipedia	</v>
      <v xml:space="preserve">CC BY-SA 3.0	</v>
      <v xml:space="preserve">https://en.wikipedia.org/wiki/Barcelona	</v>
      <v xml:space="preserve">https://creativecommons.org/licenses/by-sa/3.0	</v>
    </spb>
    <spb s="17">
      <v>130</v>
      <v>130</v>
      <v>130</v>
      <v>130</v>
      <v>130</v>
      <v>130</v>
      <v>130</v>
      <v>130</v>
      <v>130</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12">
      <v>21</v>
      <v>132</v>
      <v>133</v>
      <v>133</v>
      <v>24</v>
      <v>133</v>
      <v>133</v>
      <v>133</v>
      <v>134</v>
      <v>133</v>
      <v>133</v>
      <v>134</v>
      <v>133</v>
      <v>133</v>
      <v>135</v>
      <v>27</v>
      <v>132</v>
      <v>135</v>
      <v>28</v>
      <v>133</v>
      <v>135</v>
      <v>29</v>
      <v>30</v>
      <v>31</v>
      <v>135</v>
      <v>135</v>
      <v>133</v>
      <v>135</v>
      <v>32</v>
      <v>33</v>
      <v>34</v>
      <v>35</v>
      <v>135</v>
      <v>132</v>
      <v>135</v>
      <v>135</v>
      <v>135</v>
      <v>135</v>
      <v>135</v>
      <v>135</v>
      <v>135</v>
      <v>135</v>
      <v>135</v>
      <v>135</v>
      <v>36</v>
    </spb>
    <spb s="13">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 BY-SA 3.0	</v>
      <v xml:space="preserve">https://en.wikipedia.org/wiki/Madrid	</v>
      <v xml:space="preserve">https://creativecommons.org/licenses/by-sa/3.0	</v>
    </spb>
    <spb s="17">
      <v>138</v>
      <v>138</v>
      <v>138</v>
      <v>138</v>
      <v>138</v>
      <v>138</v>
      <v>138</v>
      <v>138</v>
      <v>138</v>
    </spb>
    <spb s="0">
      <v xml:space="preserve">Wikipedia	</v>
      <v xml:space="preserve">CC BY-SA 3.0	</v>
      <v xml:space="preserve">https://en.wikipedia.org/wiki/Honolulu	</v>
      <v xml:space="preserve">https://creativecommons.org/licenses/by-sa/3.0	</v>
    </spb>
    <spb s="1">
      <v>140</v>
      <v>140</v>
      <v>140</v>
      <v>140</v>
      <v>140</v>
      <v>140</v>
      <v>140</v>
      <v>140</v>
      <v>140</v>
      <v>140</v>
    </spb>
    <spb s="0">
      <v xml:space="preserve">Wikipedia	</v>
      <v xml:space="preserve">CC BY-SA 3.0	</v>
      <v xml:space="preserve">https://en.wikipedia.org/wiki/Hawaii	</v>
      <v xml:space="preserve">https://creativecommons.org/licenses/by-sa/3.0	</v>
    </spb>
    <spb s="0">
      <v xml:space="preserve">US Census	</v>
      <v xml:space="preserve">	</v>
      <v xml:space="preserve">https://www.census.gov/popest/data/state/asrh/2014/files/SC-EST2014-AGESEX-CIV.csv	</v>
      <v xml:space="preserve">	</v>
    </spb>
    <spb s="0">
      <v xml:space="preserve">Wikipedia	</v>
      <v xml:space="preserve">CC-BY-SA	</v>
      <v xml:space="preserve">http://en.wikipedia.org/wiki/Hawaii	</v>
      <v xml:space="preserve">http://creativecommons.org/licenses/by-sa/3.0/	</v>
    </spb>
    <spb s="0">
      <v xml:space="preserve">Wikipedia	US Census	Facebook	</v>
      <v xml:space="preserve">CC-BY-SA			</v>
      <v xml:space="preserve">http://en.wikipedia.org/wiki/Hawaii	https://www.census.gov/popest/data/state/asrh/2014/files/SC-EST2014-AGESEX-CIV.csv	https://www.facebook.com/StateOfHawaii	</v>
      <v xml:space="preserve">http://creativecommons.org/licenses/by-sa/3.0/			</v>
    </spb>
    <spb s="21">
      <v>142</v>
      <v>142</v>
      <v>143</v>
      <v>142</v>
      <v>142</v>
      <v>142</v>
      <v>144</v>
      <v>142</v>
      <v>143</v>
      <v>142</v>
      <v>143</v>
      <v>145</v>
      <v>142</v>
      <v>143</v>
      <v>143</v>
      <v>143</v>
      <v>143</v>
      <v>145</v>
      <v>143</v>
      <v>143</v>
      <v>143</v>
      <v>143</v>
      <v>143</v>
      <v>143</v>
      <v>143</v>
      <v>143</v>
      <v>143</v>
      <v>145</v>
      <v>143</v>
      <v>143</v>
      <v>143</v>
      <v>143</v>
    </spb>
    <spb s="2">
      <v>13</v>
      <v>Name</v>
      <v>LearnMoreOnLink</v>
    </spb>
    <spb s="22">
      <v>square km</v>
      <v>2015</v>
      <v>2024</v>
      <v>2016</v>
      <v>2016</v>
      <v>2015</v>
      <v>2015</v>
      <v>2010, 2016</v>
      <v>persons (2015)</v>
      <v>persons (2015)</v>
      <v>2015</v>
      <v>2015</v>
      <v>2015</v>
      <v>2015</v>
      <v>persons (2015)</v>
      <v>persons (2015)</v>
      <v>2015</v>
      <v>persons age 16+, 2015</v>
      <v>persons (2015)</v>
      <v>under age 65, 2015</v>
      <v>2015</v>
      <v>persons age 25+, 2015</v>
      <v>persons (2015)</v>
      <v>persons (2015)</v>
      <v>persons (2015)</v>
    </spb>
    <spb s="8">
      <v>13</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23">
      <v>150</v>
      <v>150</v>
      <v>151</v>
      <v>150</v>
      <v>150</v>
      <v>150</v>
      <v>152</v>
      <v>151</v>
      <v>150</v>
      <v>151</v>
    </spb>
    <spb s="2">
      <v>14</v>
      <v>Name</v>
      <v>LearnMoreOnLink</v>
    </spb>
    <spb s="0">
      <v xml:space="preserve">Wikipedia	</v>
      <v xml:space="preserve">CC BY-SA 3.0	</v>
      <v xml:space="preserve">https://en.wikipedia.org/wiki/Marrakesh	</v>
      <v xml:space="preserve">https://creativecommons.org/licenses/by-sa/3.0	</v>
    </spb>
    <spb s="17">
      <v>155</v>
      <v>155</v>
      <v>155</v>
      <v>155</v>
      <v>155</v>
      <v>155</v>
      <v>155</v>
      <v>155</v>
      <v>155</v>
    </spb>
    <spb s="7">
      <v>square km</v>
      <v>2014</v>
    </spb>
    <spb s="0">
      <v xml:space="preserve">Wikipedia	</v>
      <v xml:space="preserve">CC BY-SA 3.0	</v>
      <v xml:space="preserve">https://en.wikipedia.org/wiki/Edinburgh	</v>
      <v xml:space="preserve">https://creativecommons.org/licenses/by-sa/3.0	</v>
    </spb>
    <spb s="17">
      <v>158</v>
      <v>158</v>
      <v>158</v>
      <v>158</v>
      <v>158</v>
      <v>158</v>
      <v>158</v>
      <v>158</v>
      <v>158</v>
    </spb>
    <spb s="0">
      <v xml:space="preserve">Wikipedia	</v>
      <v xml:space="preserve">CC BY-SA 3.0	</v>
      <v xml:space="preserve">https://en.wikipedia.org/wiki/Rome	</v>
      <v xml:space="preserve">https://creativecommons.org/licenses/by-sa/3.0	</v>
    </spb>
    <spb s="1">
      <v>160</v>
      <v>160</v>
      <v>160</v>
      <v>160</v>
      <v>160</v>
      <v>160</v>
      <v>160</v>
      <v>160</v>
      <v>160</v>
      <v>160</v>
    </spb>
    <spb s="2">
      <v>15</v>
      <v>Name</v>
      <v>LearnMoreOnLink</v>
    </spb>
    <spb s="0">
      <v xml:space="preserve">Wikipedia	Wikipedia	Cia	travel.state.gov	</v>
      <v xml:space="preserve">CC-BY-SA	CC-BY-SA			</v>
      <v xml:space="preserve">http://es.wikipedia.org/wiki/Italia	http://en.wikipedia.org/wiki/Italy	https://www.cia.gov/library/publications/the-world-factbook/geos/it.html?Transportation	https://travel.state.gov/content/travel/en/international-travel/International-Travel-Country-Information-Pages/SanMarino.html	</v>
      <v xml:space="preserve">http://creativecommons.org/licenses/by-sa/3.0/	http://creativecommons.org/licenses/by-sa/3.0/			</v>
    </spb>
    <spb s="0">
      <v xml:space="preserve">Wikipedia	</v>
      <v xml:space="preserve">CC BY-SA 3.0	</v>
      <v xml:space="preserve">https://en.wikipedia.org/wiki/Italy	</v>
      <v xml:space="preserve">https://creativecommons.org/licenses/by-sa/3.0	</v>
    </spb>
    <spb s="0">
      <v xml:space="preserve">Wikipedia	</v>
      <v xml:space="preserve">CC-BY-SA	</v>
      <v xml:space="preserve">http://en.wikipedia.org/wiki/Italy	</v>
      <v xml:space="preserve">http://creativecommons.org/licenses/by-sa/3.0/	</v>
    </spb>
    <spb s="0">
      <v xml:space="preserve">Cia	</v>
      <v xml:space="preserve">	</v>
      <v xml:space="preserve">https://www.cia.gov/library/publications/the-world-factbook/geos/it.html?Transportation	</v>
      <v xml:space="preserve">	</v>
    </spb>
    <spb s="24">
      <v>21</v>
      <v>163</v>
      <v>164</v>
      <v>164</v>
      <v>24</v>
      <v>164</v>
      <v>164</v>
      <v>164</v>
      <v>165</v>
      <v>164</v>
      <v>164</v>
      <v>164</v>
      <v>164</v>
      <v>166</v>
      <v>27</v>
      <v>163</v>
      <v>166</v>
      <v>28</v>
      <v>164</v>
      <v>166</v>
      <v>29</v>
      <v>30</v>
      <v>31</v>
      <v>166</v>
      <v>166</v>
      <v>164</v>
      <v>166</v>
      <v>32</v>
      <v>33</v>
      <v>34</v>
      <v>35</v>
      <v>166</v>
      <v>163</v>
      <v>166</v>
      <v>166</v>
      <v>166</v>
      <v>166</v>
      <v>166</v>
      <v>166</v>
      <v>166</v>
      <v>166</v>
      <v>166</v>
      <v>166</v>
      <v>36</v>
    </spb>
    <spb s="2">
      <v>16</v>
      <v>Name</v>
      <v>LearnMoreOnLink</v>
    </spb>
    <spb s="13">
      <v>2019</v>
      <v>2019</v>
      <v>square km</v>
      <v>per thousand (2018)</v>
      <v>2022</v>
      <v>2019</v>
      <v>2018</v>
      <v>per liter (2016)</v>
      <v>2019</v>
      <v>years (2018)</v>
      <v>2018</v>
      <v>per thousand (2018)</v>
      <v>2019</v>
      <v>2017</v>
      <v>2016</v>
      <v>2019</v>
      <v>2016</v>
      <v>2018</v>
      <v>kilotons per year (2014)</v>
      <v>deaths per 100,000 (2017)</v>
      <v>kWh (2014)</v>
      <v>2015</v>
      <v>2008</v>
      <v>2017</v>
      <v>2017</v>
      <v>2017</v>
      <v>2017</v>
      <v>2017</v>
      <v>2015</v>
      <v>2017</v>
      <v>2017</v>
      <v>2017</v>
      <v>2017</v>
      <v>2019</v>
    </spb>
    <spb s="0">
      <v xml:space="preserve">Wikipedia	Cia	travel.state.gov	</v>
      <v xml:space="preserve">CC-BY-SA			</v>
      <v xml:space="preserve">http://en.wikipedia.org/wiki/Greece	https://www.cia.gov/library/publications/the-world-factbook/geos/gr.html?Transportation	https://travel.state.gov/content/travel/en/international-travel/International-Travel-Country-Information-Pages/Greece.html	</v>
      <v xml:space="preserve">http://creativecommons.org/licenses/by-sa/3.0/			</v>
    </spb>
    <spb s="0">
      <v xml:space="preserve">Wikipedia	</v>
      <v xml:space="preserve">CC BY-SA 3.0	</v>
      <v xml:space="preserve">https://en.wikipedia.org/wiki/Greece	</v>
      <v xml:space="preserve">https://creativecommons.org/licenses/by-sa/3.0	</v>
    </spb>
    <spb s="0">
      <v xml:space="preserve">Wikipedia	</v>
      <v xml:space="preserve">CC-BY-SA	</v>
      <v xml:space="preserve">http://en.wikipedia.org/wiki/Greece	</v>
      <v xml:space="preserve">http://creativecommons.org/licenses/by-sa/3.0/	</v>
    </spb>
    <spb s="0">
      <v xml:space="preserve">Cia	</v>
      <v xml:space="preserve">	</v>
      <v xml:space="preserve">https://www.cia.gov/library/publications/the-world-factbook/geos/gr.html?Transportation	</v>
      <v xml:space="preserve">	</v>
    </spb>
    <spb s="12">
      <v>21</v>
      <v>170</v>
      <v>171</v>
      <v>171</v>
      <v>24</v>
      <v>171</v>
      <v>171</v>
      <v>171</v>
      <v>172</v>
      <v>171</v>
      <v>171</v>
      <v>172</v>
      <v>171</v>
      <v>171</v>
      <v>173</v>
      <v>27</v>
      <v>170</v>
      <v>173</v>
      <v>28</v>
      <v>171</v>
      <v>173</v>
      <v>29</v>
      <v>30</v>
      <v>31</v>
      <v>173</v>
      <v>173</v>
      <v>171</v>
      <v>173</v>
      <v>32</v>
      <v>33</v>
      <v>34</v>
      <v>35</v>
      <v>173</v>
      <v>170</v>
      <v>173</v>
      <v>173</v>
      <v>173</v>
      <v>173</v>
      <v>173</v>
      <v>173</v>
      <v>173</v>
      <v>173</v>
      <v>173</v>
      <v>173</v>
      <v>36</v>
    </spb>
    <spb s="0">
      <v xml:space="preserve">Wikipedia	</v>
      <v xml:space="preserve">CC BY-SA 3.0	</v>
      <v xml:space="preserve">https://en.wikipedia.org/wiki/Athens	</v>
      <v xml:space="preserve">https://creativecommons.org/licenses/by-sa/3.0	</v>
    </spb>
    <spb s="25">
      <v>175</v>
      <v>175</v>
      <v>175</v>
      <v>175</v>
      <v>175</v>
      <v>175</v>
      <v>175</v>
      <v>175</v>
    </spb>
    <spb s="2">
      <v>17</v>
      <v>Name</v>
      <v>LearnMoreOnLink</v>
    </spb>
    <spb s="0">
      <v xml:space="preserve">Wikipedia	Cia	travel.state.gov	</v>
      <v xml:space="preserve">CC-BY-SA			</v>
      <v xml:space="preserve">http://en.wikipedia.org/wiki/Egypt	https://www.cia.gov/library/publications/the-world-factbook/geos/eg.html?Transportation	https://travel.state.gov/content/travel/en/international-travel/International-Travel-Country-Information-Pages/Egypt.html	</v>
      <v xml:space="preserve">http://creativecommons.org/licenses/by-sa/3.0/			</v>
    </spb>
    <spb s="0">
      <v xml:space="preserve">Wikipedia	</v>
      <v xml:space="preserve">CC BY-SA 3.0	</v>
      <v xml:space="preserve">https://en.wikipedia.org/wiki/Egypt	</v>
      <v xml:space="preserve">https://creativecommons.org/licenses/by-sa/3.0	</v>
    </spb>
    <spb s="0">
      <v xml:space="preserve">Wikipedia	</v>
      <v xml:space="preserve">CC-BY-SA	</v>
      <v xml:space="preserve">http://en.wikipedia.org/wiki/Egypt	</v>
      <v xml:space="preserve">http://creativecommons.org/licenses/by-sa/3.0/	</v>
    </spb>
    <spb s="0">
      <v xml:space="preserve">Cia	</v>
      <v xml:space="preserve">	</v>
      <v xml:space="preserve">https://www.cia.gov/library/publications/the-world-factbook/geos/eg.html?Transportation	</v>
      <v xml:space="preserve">	</v>
    </spb>
    <spb s="24">
      <v>21</v>
      <v>178</v>
      <v>179</v>
      <v>179</v>
      <v>24</v>
      <v>179</v>
      <v>179</v>
      <v>179</v>
      <v>180</v>
      <v>179</v>
      <v>179</v>
      <v>179</v>
      <v>179</v>
      <v>181</v>
      <v>27</v>
      <v>178</v>
      <v>181</v>
      <v>28</v>
      <v>179</v>
      <v>181</v>
      <v>29</v>
      <v>30</v>
      <v>31</v>
      <v>181</v>
      <v>181</v>
      <v>179</v>
      <v>181</v>
      <v>32</v>
      <v>33</v>
      <v>34</v>
      <v>35</v>
      <v>181</v>
      <v>178</v>
      <v>181</v>
      <v>181</v>
      <v>181</v>
      <v>181</v>
      <v>181</v>
      <v>181</v>
      <v>181</v>
      <v>181</v>
      <v>181</v>
      <v>181</v>
      <v>36</v>
    </spb>
    <spb s="13">
      <v>2019</v>
      <v>2019</v>
      <v>square km</v>
      <v>per thousand (2018)</v>
      <v>2022</v>
      <v>2019</v>
      <v>2018</v>
      <v>per liter (2016)</v>
      <v>2019</v>
      <v>years (2018)</v>
      <v>2015</v>
      <v>per thousand (2018)</v>
      <v>2019</v>
      <v>2017</v>
      <v>2016</v>
      <v>2019</v>
      <v>2016</v>
      <v>2018</v>
      <v>kilotons per year (2016)</v>
      <v>deaths per 100,000 (2017)</v>
      <v>kWh (2014)</v>
      <v>2014</v>
      <v>2019</v>
      <v>2017</v>
      <v>2017</v>
      <v>2017</v>
      <v>2017</v>
      <v>2017</v>
      <v>2015</v>
      <v>2017</v>
      <v>2017</v>
      <v>2018</v>
      <v>2017</v>
      <v>2019</v>
    </spb>
    <spb s="0">
      <v xml:space="preserve">Wikipedia	</v>
      <v xml:space="preserve">CC BY-SA 3.0	</v>
      <v xml:space="preserve">https://en.wikipedia.org/wiki/Cairo	</v>
      <v xml:space="preserve">https://creativecommons.org/licenses/by-sa/3.0	</v>
    </spb>
    <spb s="1">
      <v>184</v>
      <v>184</v>
      <v>184</v>
      <v>184</v>
      <v>184</v>
      <v>184</v>
      <v>184</v>
      <v>184</v>
      <v>184</v>
      <v>184</v>
    </spb>
    <spb s="0">
      <v xml:space="preserve">Wikipedia	Cia	travel.state.gov	</v>
      <v xml:space="preserve">CC-BY-SA			</v>
      <v xml:space="preserve">http://en.wikipedia.org/wiki/Canada	https://www.cia.gov/library/publications/the-world-factbook/geos/ca.html?Transportation	https://travel.state.gov/content/travel/en/international-travel/International-Travel-Country-Information-Pages/Canada.html	</v>
      <v xml:space="preserve">http://creativecommons.org/licenses/by-sa/3.0/			</v>
    </spb>
    <spb s="0">
      <v xml:space="preserve">Wikipedia	</v>
      <v xml:space="preserve">CC BY-SA 3.0	</v>
      <v xml:space="preserve">https://en.wikipedia.org/wiki/Canada	</v>
      <v xml:space="preserve">https://creativecommons.org/licenses/by-sa/3.0	</v>
    </spb>
    <spb s="0">
      <v xml:space="preserve">Wikipedia	</v>
      <v xml:space="preserve">CC-BY-SA	</v>
      <v xml:space="preserve">http://en.wikipedia.org/wiki/Canada	</v>
      <v xml:space="preserve">http://creativecommons.org/licenses/by-sa/3.0/	</v>
    </spb>
    <spb s="0">
      <v xml:space="preserve">Cia	</v>
      <v xml:space="preserve">	</v>
      <v xml:space="preserve">https://www.cia.gov/library/publications/the-world-factbook/geos/ca.html?Transportation	</v>
      <v xml:space="preserve">	</v>
    </spb>
    <spb s="12">
      <v>21</v>
      <v>186</v>
      <v>187</v>
      <v>187</v>
      <v>24</v>
      <v>187</v>
      <v>187</v>
      <v>187</v>
      <v>188</v>
      <v>187</v>
      <v>187</v>
      <v>188</v>
      <v>187</v>
      <v>187</v>
      <v>189</v>
      <v>27</v>
      <v>186</v>
      <v>189</v>
      <v>28</v>
      <v>187</v>
      <v>189</v>
      <v>29</v>
      <v>30</v>
      <v>31</v>
      <v>189</v>
      <v>189</v>
      <v>187</v>
      <v>189</v>
      <v>32</v>
      <v>33</v>
      <v>34</v>
      <v>35</v>
      <v>189</v>
      <v>186</v>
      <v>189</v>
      <v>189</v>
      <v>189</v>
      <v>189</v>
      <v>189</v>
      <v>189</v>
      <v>189</v>
      <v>189</v>
      <v>189</v>
      <v>189</v>
      <v>36</v>
    </spb>
    <spb s="13">
      <v>2019</v>
      <v>2019</v>
      <v>square km</v>
      <v>per thousand (2018)</v>
      <v>2022</v>
      <v>2019</v>
      <v>2018</v>
      <v>per liter (2016)</v>
      <v>2019</v>
      <v>years (2018)</v>
      <v>2018</v>
      <v>per thousand (2018)</v>
      <v>2019</v>
      <v>2017</v>
      <v>2016</v>
      <v>2019</v>
      <v>2016</v>
      <v>2017</v>
      <v>kilotons per year (2016)</v>
      <v>deaths per 100,000 (2017)</v>
      <v>kWh (2014)</v>
      <v>2015</v>
      <v>2018</v>
      <v>2013</v>
      <v>2013</v>
      <v>2013</v>
      <v>2013</v>
      <v>2013</v>
      <v>2015</v>
      <v>2013</v>
      <v>2013</v>
      <v>2017</v>
      <v>2017</v>
      <v>2019</v>
    </spb>
    <spb s="0">
      <v xml:space="preserve">Wikipedia	</v>
      <v xml:space="preserve">CC BY-SA 3.0	</v>
      <v xml:space="preserve">https://en.wikipedia.org/wiki/Ottawa	</v>
      <v xml:space="preserve">https://creativecommons.org/licenses/by-sa/3.0	</v>
    </spb>
    <spb s="1">
      <v>192</v>
      <v>192</v>
      <v>192</v>
      <v>192</v>
      <v>192</v>
      <v>192</v>
      <v>192</v>
      <v>192</v>
      <v>192</v>
      <v>192</v>
    </spb>
    <spb s="0">
      <v xml:space="preserve">Wikipedia	</v>
      <v xml:space="preserve">CC BY-SA 3.0	</v>
      <v xml:space="preserve">https://en.wikipedia.org/wiki/Vancouver	</v>
      <v xml:space="preserve">https://creativecommons.org/licenses/by-sa/3.0	</v>
    </spb>
    <spb s="1">
      <v>194</v>
      <v>194</v>
      <v>194</v>
      <v>194</v>
      <v>194</v>
      <v>194</v>
      <v>194</v>
      <v>194</v>
      <v>194</v>
      <v>194</v>
    </spb>
    <spb s="0">
      <v xml:space="preserve">Wikipedia	</v>
      <v xml:space="preserve">CC BY-SA 3.0	</v>
      <v xml:space="preserve">https://en.wikipedia.org/wiki/Seoul	</v>
      <v xml:space="preserve">https://creativecommons.org/licenses/by-sa/3.0	</v>
    </spb>
    <spb s="0">
      <v xml:space="preserve">Kosis	</v>
      <v xml:space="preserve">	</v>
      <v xml:space="preserve">http://kosis.kr/statHtml/statHtml.do?orgId=101&amp;tblId=DT_1IN0001_ENG&amp;conn_path=I2&amp;language=en	</v>
      <v xml:space="preserve">	</v>
    </spb>
    <spb s="0">
      <v xml:space="preserve">Wikipedia	</v>
      <v xml:space="preserve">CC-BY-SA	</v>
      <v xml:space="preserve">http://en.wikipedia.org/wiki/Seoul	</v>
      <v xml:space="preserve">http://creativecommons.org/licenses/by-sa/3.0/	</v>
    </spb>
    <spb s="26">
      <v>196</v>
      <v>196</v>
      <v>197</v>
      <v>196</v>
      <v>196</v>
      <v>196</v>
      <v>198</v>
      <v>197</v>
      <v>196</v>
      <v>196</v>
    </spb>
    <spb s="2">
      <v>18</v>
      <v>Name</v>
      <v>LearnMoreOnLink</v>
    </spb>
    <spb s="27">
      <v>square km</v>
      <v>2016</v>
      <v>2020</v>
      <v>2016</v>
    </spb>
    <spb s="0">
      <v xml:space="preserve">Wikipedia	</v>
      <v xml:space="preserve">CC BY-SA 3.0	</v>
      <v xml:space="preserve">https://en.wikipedia.org/wiki/Jung_District,_Seoul	</v>
      <v xml:space="preserve">https://creativecommons.org/licenses/by-sa/3.0	</v>
    </spb>
    <spb s="28">
      <v>202</v>
      <v>202</v>
      <v>202</v>
      <v>202</v>
      <v>202</v>
      <v>202</v>
      <v>202</v>
    </spb>
    <spb s="2">
      <v>19</v>
      <v>Name</v>
      <v>LearnMoreOnLink</v>
    </spb>
    <spb s="29">
      <v>3</v>
      <v>3</v>
      <v>3</v>
    </spb>
    <spb s="0">
      <v xml:space="preserve">Wikipedia	</v>
      <v xml:space="preserve">CC BY-SA 3.0	</v>
      <v xml:space="preserve">https://en.wikipedia.org/wiki/Los_Angeles	</v>
      <v xml:space="preserve">https://creativecommons.org/licenses/by-sa/3.0	</v>
    </spb>
    <spb s="1">
      <v>206</v>
      <v>206</v>
      <v>206</v>
      <v>206</v>
      <v>206</v>
      <v>206</v>
      <v>206</v>
      <v>206</v>
      <v>206</v>
      <v>206</v>
    </spb>
    <spb s="0">
      <v xml:space="preserve">Wikipedia	</v>
      <v xml:space="preserve">CC BY-SA 3.0	</v>
      <v xml:space="preserve">https://en.wikipedia.org/wiki/Cape_Town	</v>
      <v xml:space="preserve">https://creativecommons.org/licenses/by-sa/3.0	</v>
    </spb>
    <spb s="1">
      <v>208</v>
      <v>208</v>
      <v>208</v>
      <v>208</v>
      <v>208</v>
      <v>208</v>
      <v>208</v>
      <v>208</v>
      <v>208</v>
      <v>208</v>
    </spb>
    <spb s="7">
      <v>square km</v>
      <v>2011</v>
    </spb>
    <spb s="0">
      <v xml:space="preserve">Wikipedia	</v>
      <v xml:space="preserve">CC BY-SA 3.0	</v>
      <v xml:space="preserve">https://en.wikipedia.org/wiki/Santorini	</v>
      <v xml:space="preserve">https://creativecommons.org/licenses/by-sa/3.0	</v>
    </spb>
    <spb s="25">
      <v>211</v>
      <v>211</v>
      <v>211</v>
      <v>211</v>
      <v>211</v>
      <v>211</v>
      <v>211</v>
      <v>211</v>
    </spb>
    <spb s="2">
      <v>20</v>
      <v>Name</v>
      <v>LearnMoreOnLink</v>
    </spb>
    <spb s="0">
      <v xml:space="preserve">Wikipedia	</v>
      <v xml:space="preserve">CC BY-SA 3.0	</v>
      <v xml:space="preserve">https://en.wikipedia.org/wiki/Phnom_Penh	</v>
      <v xml:space="preserve">https://creativecommons.org/licenses/by-sa/3.0	</v>
    </spb>
    <spb s="0">
      <v xml:space="preserve">Wikipedia	</v>
      <v xml:space="preserve">CC-BY-SA	</v>
      <v xml:space="preserve">http://en.wikipedia.org/wiki/Phnom_Penh	</v>
      <v xml:space="preserve">http://creativecommons.org/licenses/by-sa/3.0/	</v>
    </spb>
    <spb s="14">
      <v>214</v>
      <v>214</v>
      <v>214</v>
      <v>214</v>
      <v>214</v>
      <v>215</v>
      <v>214</v>
    </spb>
    <spb s="2">
      <v>21</v>
      <v>Name</v>
      <v>LearnMoreOnLink</v>
    </spb>
    <spb s="7">
      <v>square km</v>
      <v>2019</v>
    </spb>
    <spb s="0">
      <v xml:space="preserve">Wikipedia	</v>
      <v xml:space="preserve">CC BY-SA 3.0	</v>
      <v xml:space="preserve">https://en.wikipedia.org/wiki/Auckland	</v>
      <v xml:space="preserve">https://creativecommons.org/licenses/by-sa/3.0	</v>
    </spb>
    <spb s="17">
      <v>219</v>
      <v>219</v>
      <v>219</v>
      <v>219</v>
      <v>219</v>
      <v>219</v>
      <v>219</v>
      <v>219</v>
      <v>219</v>
    </spb>
  </spbData>
</supportingPropertyBags>
</file>

<file path=xl/richData/rdsupportingpropertybagstructure.xml><?xml version="1.0" encoding="utf-8"?>
<spbStructures xmlns="http://schemas.microsoft.com/office/spreadsheetml/2017/richdata2" count="30">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Households" t="spb"/>
    <k n="Population" t="spb"/>
    <k n="UniqueName" t="spb"/>
    <k n="Description" t="spb"/>
    <k n="Abbreviation" t="spb"/>
    <k n="Largest city" t="spb"/>
    <k n="Housing units" t="spb"/>
    <k n="Country/region" t="spb"/>
    <k n="Capital/Major City" t="spb"/>
    <k n="Persons per household" t="spb"/>
  </s>
  <s>
    <k n="Area" t="s"/>
    <k n="Households" t="s"/>
    <k n="Population" t="s"/>
    <k n="Housing units" t="s"/>
    <k n="Persons per household" t="s"/>
  </s>
  <s>
    <k n="Area" t="spb"/>
    <k n="Name" t="spb"/>
    <k n="Latitude" t="spb"/>
    <k n="Longitude" t="spb"/>
    <k n="Population" t="spb"/>
    <k n="UniqueName" t="spb"/>
    <k n="Description" t="spb"/>
    <k n="Country/region" t="spb"/>
    <k n="Admin Division 2 (County/district/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Abbreviation" t="spb"/>
    <k n="Country/region" t="spb"/>
  </s>
  <s>
    <k n="Area" t="spb"/>
    <k n="Name" t="spb"/>
    <k n="Households" t="spb"/>
    <k n="Population" t="spb"/>
    <k n="UniqueName" t="spb"/>
    <k n="Description" t="spb"/>
    <k n="Abbreviation" t="spb"/>
    <k n="Largest city" t="spb"/>
    <k n="Country/region" t="spb"/>
    <k n="Capital/Major City" t="spb"/>
    <k n="Persons per household" t="spb"/>
  </s>
  <s>
    <k n="Area" t="s"/>
    <k n="Households" t="s"/>
    <k n="Population" t="s"/>
    <k n="Persons per household" t="s"/>
  </s>
  <s>
    <k n="Area" t="spb"/>
    <k n="Name" t="spb"/>
    <k n="Latitude" t="spb"/>
    <k n="Longitude" t="spb"/>
    <k n="Population" t="spb"/>
    <k n="UniqueName" t="spb"/>
    <k n="Description" t="spb"/>
    <k n="Country/region" t="spb"/>
    <k n="Admin Division 1 (State/province/other)" t="spb"/>
  </s>
  <s>
    <k n="Area" t="spb"/>
    <k n="Name" t="spb"/>
    <k n="Population" t="spb"/>
    <k n="UniqueName" t="spb"/>
    <k n="Description" t="spb"/>
    <k n="Abbreviation" t="spb"/>
    <k n="Largest city" t="spb"/>
    <k n="Country/region" t="spb"/>
    <k n="Capital/Major City" t="spb"/>
  </s>
  <s>
    <k n="Area" t="spb"/>
    <k n="Name" t="spb"/>
    <k n="Households" t="spb"/>
    <k n="Population" t="spb"/>
    <k n="UniqueName" t="spb"/>
    <k n="Description" t="spb"/>
    <k n="Abbreviation" t="spb"/>
    <k n="Country/region" t="spb"/>
  </s>
  <s>
    <k n="Area" t="s"/>
    <k n="Households" t="s"/>
    <k n="Population" t="s"/>
  </s>
  <s>
    <k n="Area" t="spb"/>
    <k n="Name" t="spb"/>
    <k n="Households" t="spb"/>
    <k n="Population" t="spb"/>
    <k n="UniqueName" t="spb"/>
    <k n="Description" t="spb"/>
    <k n="Abbreviation" t="spb"/>
    <k n="Largest city" t="spb"/>
    <k n="Housing units" t="spb"/>
    <k n="Country/region" t="spb"/>
    <k n="Building permits" t="spb"/>
    <k n="Median gross rent" t="spb"/>
    <k n="Capital/Major City" t="spb"/>
    <k n="Persons per household" t="spb"/>
    <k n="Population change (%)" t="spb"/>
    <k n="Population: Asian (%)" t="spb"/>
    <k n="Population: White (%)" t="spb"/>
    <k n="Median household income" t="spb"/>
    <k n="Population: Age 65+ (%)" t="spb"/>
    <k n="Population: Under age 5 (%)" t="spb"/>
    <k n="Population: Under age 18 (%)" t="spb"/>
    <k n="Population: Two or more races (%)" t="spb"/>
    <k n="Population: Hispanic or Latino (%)" t="spb"/>
    <k n="Population: Foreign born persons (%)" t="spb"/>
    <k n="Population: In civilian labor force (%)" t="spb"/>
    <k n="Population: Black or African American (%)" t="spb"/>
    <k n="Population: Persons with a disability (%)" t="spb"/>
    <k n="Median value, owner-occupied housing units" t="spb"/>
    <k n="Population: Bachelor's degree or higher (%)" t="spb"/>
    <k n="Population: High school graduate or higher (%)" t="spb"/>
    <k n="Population: American Indian and Alaskan Native (%)" t="spb"/>
    <k n="Population: Native Hawaiian and Other Pacific Islander (%)" t="spb"/>
  </s>
  <s>
    <k n="Area" t="s"/>
    <k n="Households" t="s"/>
    <k n="Population" t="s"/>
    <k n="Housing units" t="s"/>
    <k n="Building permits" t="s"/>
    <k n="Median gross rent" t="s"/>
    <k n="Persons per household" t="s"/>
    <k n="Population change (%)" t="s"/>
    <k n="Population: Asian (%)" t="s"/>
    <k n="Population: White (%)" t="s"/>
    <k n="Median household income" t="s"/>
    <k n="Population: Age 65+ (%)" t="s"/>
    <k n="Population: Under age 5 (%)" t="s"/>
    <k n="Population: Under age 18 (%)" t="s"/>
    <k n="Population: Two or more races (%)" t="s"/>
    <k n="Population: Hispanic or Latino (%)" t="s"/>
    <k n="Population: Foreign born persons (%)" t="s"/>
    <k n="Population: In civilian labor force (%)" t="s"/>
    <k n="Population: Black or African American (%)" t="s"/>
    <k n="Population: Persons with a disability (%)" t="s"/>
    <k n="Median value, owner-occupied housing units" t="s"/>
    <k n="Population: Bachelor's degree or higher (%)" t="s"/>
    <k n="Population: High school graduate or higher (%)" t="s"/>
    <k n="Population: American Indian and Alaskan Native (%)" t="s"/>
    <k n="Population: Native Hawaiian and Other Pacific Islander (%)" t="s"/>
  </s>
  <s>
    <k n="Area" t="spb"/>
    <k n="Name" t="spb"/>
    <k n="Households" t="spb"/>
    <k n="Population" t="spb"/>
    <k n="UniqueName" t="spb"/>
    <k n="Description" t="spb"/>
    <k n="Abbreviation" t="spb"/>
    <k n="Housing units" t="spb"/>
    <k n="Country/region" t="spb"/>
    <k n="Persons per household" t="spb"/>
  </s>
  <s>
    <k n="CPI" t="spb"/>
    <k n="GDP" t="spb"/>
    <k n="Area" t="spb"/>
    <k n="Name" t="spb"/>
    <k n="Birth rate" t="spb"/>
    <k n="Population" t="spb"/>
    <k n="UniqueName" t="spb"/>
    <k n="Description" t="spb"/>
    <k n="Abbreviation" t="spb"/>
    <k n="Calling code" t="spb"/>
    <k n="Largest city"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Area" t="spb"/>
    <k n="Name" t="spb"/>
    <k n="Latitude" t="spb"/>
    <k n="Longitude" t="spb"/>
    <k n="Population" t="spb"/>
    <k n="UniqueName" t="spb"/>
    <k n="Description" t="spb"/>
    <k n="Country/region" t="spb"/>
  </s>
  <s>
    <k n="Area" t="spb"/>
    <k n="Name" t="spb"/>
    <k n="Households" t="spb"/>
    <k n="Population" t="spb"/>
    <k n="UniqueName" t="spb"/>
    <k n="Description" t="spb"/>
    <k n="Abbreviation" t="spb"/>
    <k n="Housing units" t="spb"/>
    <k n="Country/region" t="spb"/>
    <k n="Capital/Major City" t="spb"/>
  </s>
  <s>
    <k n="Area" t="s"/>
    <k n="Households" t="s"/>
    <k n="Population" t="s"/>
    <k n="Housing units" t="s"/>
  </s>
  <s>
    <k n="Area" t="spb"/>
    <k n="Name" t="spb"/>
    <k n="Population" t="spb"/>
    <k n="UniqueName" t="spb"/>
    <k n="Description" t="spb"/>
    <k n="Country/region" t="spb"/>
    <k n="Admin Division 1 (State/province/other)" t="spb"/>
  </s>
  <s>
    <k n="UniqueName" t="spb"/>
    <k n="Time zone(s)" t="spb"/>
    <k n="LearnMoreOnLink"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3" formatCode="#,##0"/>
    </x:dxf>
    <x:dxf>
      <x:numFmt numFmtId="0" formatCode="General"/>
    </x:dxf>
    <x:dxf>
      <x:numFmt numFmtId="2" formatCode="0.00"/>
    </x:dxf>
    <x:dxf>
      <x:numFmt numFmtId="14" formatCode="0.00%"/>
    </x:dxf>
    <x:dxf>
      <x:numFmt numFmtId="13" formatCode="0%"/>
    </x:dxf>
    <x:dxf>
      <x:numFmt numFmtId="4" formatCode="#,##0.00"/>
    </x:dxf>
    <x:dxf>
      <x:numFmt numFmtId="1" formatCode="0"/>
    </x:dxf>
  </dxfs>
  <richProperties>
    <rPr n="IsTitleField" t="b"/>
    <rPr n="IsHeroField" t="b"/>
    <rPr n="NumberFormat" t="s"/>
  </richProperties>
  <richStyles>
    <rSty>
      <rpv i="0">1</rpv>
    </rSty>
    <rSty>
      <rpv i="1">1</rpv>
    </rSty>
    <rSty dxfid="0">
      <rpv i="2">#,##0</rpv>
    </rSty>
    <rSty dxfid="1">
      <rpv i="2">0.0000</rpv>
    </rSty>
    <rSty dxfid="2">
      <rpv i="2">0.00</rpv>
    </rSty>
    <rSty dxfid="3">
      <rpv i="2">0.0%</rpv>
    </rSty>
    <rSty dxfid="6">
      <rpv i="2">0</rpv>
    </rSty>
    <rSty dxfid="5">
      <rpv i="2">#,##0.00</rpv>
    </rSty>
    <rSty dxfid="1">
      <rpv i="2">0.0</rpv>
    </rSty>
    <rSty dxfid="1">
      <rpv i="2">_([$$-en-US]* #,##0.00_);_([$$-en-US]* (#,##0.00);_([$$-en-US]* "-"??_);_(@_)</rpv>
    </rSty>
    <rSty dxfid="1">
      <rpv i="2">_([$$-en-US]* #,##0_);_([$$-en-US]* (#,##0);_([$$-en-US]* "-"_);_(@_)</rpv>
    </rSty>
    <rSty dxfid="3"/>
    <rSty dxfid="4"/>
  </richStyles>
</richStyleSheet>
</file>

<file path=xl/theme/theme1.xml><?xml version="1.0" encoding="utf-8"?>
<a:theme xmlns:a="http://schemas.openxmlformats.org/drawingml/2006/main" name="Office Theme">
  <a:themeElements>
    <a:clrScheme name="Aspect">
      <a:dk1>
        <a:sysClr val="windowText" lastClr="000000"/>
      </a:dk1>
      <a:lt1>
        <a:sysClr val="window" lastClr="FFFFFF"/>
      </a:lt1>
      <a:dk2>
        <a:srgbClr val="323232"/>
      </a:dk2>
      <a:lt2>
        <a:srgbClr val="E3DED1"/>
      </a:lt2>
      <a:accent1>
        <a:srgbClr val="F07F09"/>
      </a:accent1>
      <a:accent2>
        <a:srgbClr val="9F2936"/>
      </a:accent2>
      <a:accent3>
        <a:srgbClr val="1B587C"/>
      </a:accent3>
      <a:accent4>
        <a:srgbClr val="4E8542"/>
      </a:accent4>
      <a:accent5>
        <a:srgbClr val="604878"/>
      </a:accent5>
      <a:accent6>
        <a:srgbClr val="C19859"/>
      </a:accent6>
      <a:hlink>
        <a:srgbClr val="6B9F25"/>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40"/>
  <sheetViews>
    <sheetView workbookViewId="0">
      <pane ySplit="1" topLeftCell="A2" activePane="bottomLeft" state="frozen"/>
      <selection activeCell="C1" sqref="C1"/>
      <selection pane="bottomLeft" activeCell="O1" sqref="O1:O1048576"/>
    </sheetView>
  </sheetViews>
  <sheetFormatPr defaultRowHeight="14.5" x14ac:dyDescent="0.35"/>
  <cols>
    <col min="1" max="1" width="6.36328125" bestFit="1" customWidth="1"/>
    <col min="2" max="2" width="24.6328125" customWidth="1"/>
    <col min="3" max="3" width="8.90625" style="1" bestFit="1" customWidth="1"/>
    <col min="4" max="4" width="8.1796875" style="1" bestFit="1" customWidth="1"/>
    <col min="5" max="5" width="13.81640625" bestFit="1" customWidth="1"/>
    <col min="6" max="6" width="16.81640625" bestFit="1" customWidth="1"/>
    <col min="7" max="7" width="11" bestFit="1" customWidth="1"/>
    <col min="8" max="8" width="11" customWidth="1"/>
    <col min="9" max="9" width="14" bestFit="1" customWidth="1"/>
    <col min="10" max="11" width="18.7265625" bestFit="1" customWidth="1"/>
    <col min="12" max="12" width="18.453125" style="2" bestFit="1" customWidth="1"/>
    <col min="13" max="13" width="17.54296875" bestFit="1" customWidth="1"/>
    <col min="14" max="14" width="17.26953125" style="2" bestFit="1" customWidth="1"/>
    <col min="15" max="15" width="9.81640625" style="2" bestFit="1" customWidth="1"/>
  </cols>
  <sheetData>
    <row r="1" spans="1:15" x14ac:dyDescent="0.35">
      <c r="A1" t="s">
        <v>0</v>
      </c>
      <c r="B1" t="s">
        <v>1</v>
      </c>
      <c r="C1" s="1" t="s">
        <v>2</v>
      </c>
      <c r="D1" s="1" t="s">
        <v>3</v>
      </c>
      <c r="E1" t="s">
        <v>4</v>
      </c>
      <c r="F1" t="s">
        <v>5</v>
      </c>
      <c r="G1" t="s">
        <v>6</v>
      </c>
      <c r="H1" t="s">
        <v>195</v>
      </c>
      <c r="I1" t="s">
        <v>7</v>
      </c>
      <c r="J1" t="s">
        <v>8</v>
      </c>
      <c r="K1" t="s">
        <v>9</v>
      </c>
      <c r="L1" s="2" t="s">
        <v>10</v>
      </c>
      <c r="M1" t="s">
        <v>11</v>
      </c>
      <c r="N1" s="2" t="s">
        <v>12</v>
      </c>
      <c r="O1" s="2" t="s">
        <v>203</v>
      </c>
    </row>
    <row r="2" spans="1:15" x14ac:dyDescent="0.35">
      <c r="A2">
        <v>1</v>
      </c>
      <c r="B2" t="e" vm="1">
        <v>#VALUE!</v>
      </c>
      <c r="C2" s="1">
        <v>45047</v>
      </c>
      <c r="D2" s="1">
        <v>45054</v>
      </c>
      <c r="E2">
        <v>7</v>
      </c>
      <c r="F2" t="s">
        <v>13</v>
      </c>
      <c r="G2">
        <v>35</v>
      </c>
      <c r="H2" t="str">
        <f>IF(G2&lt;30, "Under 30", IF(G2&lt;=40, "30-40", "Over 40"))</f>
        <v>30-40</v>
      </c>
      <c r="I2" t="s">
        <v>14</v>
      </c>
      <c r="J2" t="s">
        <v>15</v>
      </c>
      <c r="K2" t="s">
        <v>16</v>
      </c>
      <c r="L2" s="2">
        <v>1200</v>
      </c>
      <c r="M2" t="s">
        <v>17</v>
      </c>
      <c r="N2" s="2">
        <v>600</v>
      </c>
      <c r="O2" s="2">
        <f>SUM(L2,N2)</f>
        <v>1800</v>
      </c>
    </row>
    <row r="3" spans="1:15" x14ac:dyDescent="0.35">
      <c r="A3">
        <v>2</v>
      </c>
      <c r="B3" t="e" vm="2">
        <v>#VALUE!</v>
      </c>
      <c r="C3" s="1">
        <v>45092</v>
      </c>
      <c r="D3" s="1">
        <v>45097</v>
      </c>
      <c r="E3">
        <v>5</v>
      </c>
      <c r="F3" t="s">
        <v>18</v>
      </c>
      <c r="G3">
        <v>28</v>
      </c>
      <c r="H3" t="str">
        <f t="shared" ref="H3:H66" si="0">IF(G3&lt;30, "Under 30", IF(G3&lt;=40, "30-40", "Over 40"))</f>
        <v>Under 30</v>
      </c>
      <c r="I3" t="s">
        <v>19</v>
      </c>
      <c r="J3" t="s">
        <v>20</v>
      </c>
      <c r="K3" t="s">
        <v>21</v>
      </c>
      <c r="L3" s="2">
        <v>800</v>
      </c>
      <c r="M3" t="s">
        <v>17</v>
      </c>
      <c r="N3" s="2">
        <v>500</v>
      </c>
      <c r="O3" s="2">
        <f t="shared" ref="O3:O66" si="1">SUM(L3,N3)</f>
        <v>1300</v>
      </c>
    </row>
    <row r="4" spans="1:15" x14ac:dyDescent="0.35">
      <c r="A4">
        <v>3</v>
      </c>
      <c r="B4" t="e" vm="3">
        <v>#VALUE!</v>
      </c>
      <c r="C4" s="1">
        <v>45108</v>
      </c>
      <c r="D4" s="1">
        <v>45115</v>
      </c>
      <c r="E4">
        <v>7</v>
      </c>
      <c r="F4" t="s">
        <v>22</v>
      </c>
      <c r="G4">
        <v>45</v>
      </c>
      <c r="H4" t="str">
        <f t="shared" si="0"/>
        <v>Over 40</v>
      </c>
      <c r="I4" t="s">
        <v>14</v>
      </c>
      <c r="J4" t="s">
        <v>23</v>
      </c>
      <c r="K4" t="s">
        <v>24</v>
      </c>
      <c r="L4" s="2">
        <v>1000</v>
      </c>
      <c r="M4" t="s">
        <v>17</v>
      </c>
      <c r="N4" s="2">
        <v>700</v>
      </c>
      <c r="O4" s="2">
        <f t="shared" si="1"/>
        <v>1700</v>
      </c>
    </row>
    <row r="5" spans="1:15" x14ac:dyDescent="0.35">
      <c r="A5">
        <v>4</v>
      </c>
      <c r="B5" t="e" vm="4">
        <v>#VALUE!</v>
      </c>
      <c r="C5" s="1">
        <v>45153</v>
      </c>
      <c r="D5" s="1">
        <v>45167</v>
      </c>
      <c r="E5">
        <v>14</v>
      </c>
      <c r="F5" t="s">
        <v>25</v>
      </c>
      <c r="G5">
        <v>29</v>
      </c>
      <c r="H5" t="str">
        <f t="shared" si="0"/>
        <v>Under 30</v>
      </c>
      <c r="I5" t="s">
        <v>19</v>
      </c>
      <c r="J5" t="s">
        <v>26</v>
      </c>
      <c r="K5" t="s">
        <v>16</v>
      </c>
      <c r="L5" s="2">
        <v>2000</v>
      </c>
      <c r="M5" t="s">
        <v>17</v>
      </c>
      <c r="N5" s="2">
        <v>1000</v>
      </c>
      <c r="O5" s="2">
        <f t="shared" si="1"/>
        <v>3000</v>
      </c>
    </row>
    <row r="6" spans="1:15" x14ac:dyDescent="0.35">
      <c r="A6">
        <v>5</v>
      </c>
      <c r="B6" t="e" vm="5">
        <v>#VALUE!</v>
      </c>
      <c r="C6" s="1">
        <v>45179</v>
      </c>
      <c r="D6" s="1">
        <v>45186</v>
      </c>
      <c r="E6">
        <v>7</v>
      </c>
      <c r="F6" t="s">
        <v>27</v>
      </c>
      <c r="G6">
        <v>26</v>
      </c>
      <c r="H6" t="str">
        <f t="shared" si="0"/>
        <v>Under 30</v>
      </c>
      <c r="I6" t="s">
        <v>19</v>
      </c>
      <c r="J6" t="s">
        <v>28</v>
      </c>
      <c r="K6" t="s">
        <v>29</v>
      </c>
      <c r="L6" s="2">
        <v>700</v>
      </c>
      <c r="M6" t="s">
        <v>30</v>
      </c>
      <c r="N6" s="2">
        <v>200</v>
      </c>
      <c r="O6" s="2">
        <f t="shared" si="1"/>
        <v>900</v>
      </c>
    </row>
    <row r="7" spans="1:15" x14ac:dyDescent="0.35">
      <c r="A7">
        <v>6</v>
      </c>
      <c r="B7" t="e" vm="6">
        <v>#VALUE!</v>
      </c>
      <c r="C7" s="1">
        <v>45204</v>
      </c>
      <c r="D7" s="1">
        <v>45209</v>
      </c>
      <c r="E7">
        <v>5</v>
      </c>
      <c r="F7" t="s">
        <v>31</v>
      </c>
      <c r="G7">
        <v>42</v>
      </c>
      <c r="H7" t="str">
        <f t="shared" si="0"/>
        <v>Over 40</v>
      </c>
      <c r="I7" t="s">
        <v>14</v>
      </c>
      <c r="J7" t="s">
        <v>15</v>
      </c>
      <c r="K7" t="s">
        <v>16</v>
      </c>
      <c r="L7" s="2">
        <v>1500</v>
      </c>
      <c r="M7" t="s">
        <v>17</v>
      </c>
      <c r="N7" s="2">
        <v>800</v>
      </c>
      <c r="O7" s="2">
        <f t="shared" si="1"/>
        <v>2300</v>
      </c>
    </row>
    <row r="8" spans="1:15" x14ac:dyDescent="0.35">
      <c r="A8">
        <v>7</v>
      </c>
      <c r="B8" t="e" vm="7">
        <v>#VALUE!</v>
      </c>
      <c r="C8" s="1">
        <v>45250</v>
      </c>
      <c r="D8" s="1">
        <v>45260</v>
      </c>
      <c r="E8">
        <v>10</v>
      </c>
      <c r="F8" t="s">
        <v>32</v>
      </c>
      <c r="G8">
        <v>33</v>
      </c>
      <c r="H8" t="str">
        <f t="shared" si="0"/>
        <v>30-40</v>
      </c>
      <c r="I8" t="s">
        <v>19</v>
      </c>
      <c r="J8" t="s">
        <v>33</v>
      </c>
      <c r="K8" t="s">
        <v>34</v>
      </c>
      <c r="L8" s="2">
        <v>500</v>
      </c>
      <c r="M8" t="s">
        <v>17</v>
      </c>
      <c r="N8" s="2">
        <v>1200</v>
      </c>
      <c r="O8" s="2">
        <f t="shared" si="1"/>
        <v>1700</v>
      </c>
    </row>
    <row r="9" spans="1:15" x14ac:dyDescent="0.35">
      <c r="A9">
        <v>8</v>
      </c>
      <c r="B9" t="e" vm="8">
        <v>#VALUE!</v>
      </c>
      <c r="C9" s="1">
        <v>45296</v>
      </c>
      <c r="D9" s="1">
        <v>45303</v>
      </c>
      <c r="E9">
        <v>7</v>
      </c>
      <c r="F9" t="s">
        <v>35</v>
      </c>
      <c r="G9">
        <v>25</v>
      </c>
      <c r="H9" t="str">
        <f t="shared" si="0"/>
        <v>Under 30</v>
      </c>
      <c r="I9" t="s">
        <v>14</v>
      </c>
      <c r="J9" t="s">
        <v>36</v>
      </c>
      <c r="K9" t="s">
        <v>29</v>
      </c>
      <c r="L9" s="2">
        <v>900</v>
      </c>
      <c r="M9" t="s">
        <v>17</v>
      </c>
      <c r="N9" s="2">
        <v>600</v>
      </c>
      <c r="O9" s="2">
        <f t="shared" si="1"/>
        <v>1500</v>
      </c>
    </row>
    <row r="10" spans="1:15" x14ac:dyDescent="0.35">
      <c r="A10">
        <v>9</v>
      </c>
      <c r="B10" t="e" vm="9">
        <v>#VALUE!</v>
      </c>
      <c r="C10" s="1">
        <v>45336</v>
      </c>
      <c r="D10" s="1">
        <v>45343</v>
      </c>
      <c r="E10">
        <v>7</v>
      </c>
      <c r="F10" t="s">
        <v>37</v>
      </c>
      <c r="G10">
        <v>31</v>
      </c>
      <c r="H10" t="str">
        <f t="shared" si="0"/>
        <v>30-40</v>
      </c>
      <c r="I10" t="s">
        <v>19</v>
      </c>
      <c r="J10" t="s">
        <v>38</v>
      </c>
      <c r="K10" t="s">
        <v>16</v>
      </c>
      <c r="L10" s="2">
        <v>1200</v>
      </c>
      <c r="M10" t="s">
        <v>30</v>
      </c>
      <c r="N10" s="2">
        <v>200</v>
      </c>
      <c r="O10" s="2">
        <f t="shared" si="1"/>
        <v>1400</v>
      </c>
    </row>
    <row r="11" spans="1:15" x14ac:dyDescent="0.35">
      <c r="A11">
        <v>10</v>
      </c>
      <c r="B11" t="e" vm="10">
        <v>#VALUE!</v>
      </c>
      <c r="C11" s="1">
        <v>45361</v>
      </c>
      <c r="D11" s="1">
        <v>45368</v>
      </c>
      <c r="E11">
        <v>7</v>
      </c>
      <c r="F11" t="s">
        <v>39</v>
      </c>
      <c r="G11">
        <v>39</v>
      </c>
      <c r="H11" t="str">
        <f t="shared" si="0"/>
        <v>30-40</v>
      </c>
      <c r="I11" t="s">
        <v>14</v>
      </c>
      <c r="J11" t="s">
        <v>40</v>
      </c>
      <c r="K11" t="s">
        <v>21</v>
      </c>
      <c r="L11" s="2">
        <v>2500</v>
      </c>
      <c r="M11" t="s">
        <v>17</v>
      </c>
      <c r="N11" s="2">
        <v>800</v>
      </c>
      <c r="O11" s="2">
        <f t="shared" si="1"/>
        <v>3300</v>
      </c>
    </row>
    <row r="12" spans="1:15" x14ac:dyDescent="0.35">
      <c r="A12">
        <v>11</v>
      </c>
      <c r="B12" t="e" vm="11">
        <v>#VALUE!</v>
      </c>
      <c r="C12" s="1">
        <v>45383</v>
      </c>
      <c r="D12" s="1">
        <v>45390</v>
      </c>
      <c r="E12">
        <v>7</v>
      </c>
      <c r="F12" t="s">
        <v>41</v>
      </c>
      <c r="G12">
        <v>27</v>
      </c>
      <c r="H12" t="str">
        <f t="shared" si="0"/>
        <v>Under 30</v>
      </c>
      <c r="I12" t="s">
        <v>19</v>
      </c>
      <c r="J12" t="s">
        <v>42</v>
      </c>
      <c r="K12" t="s">
        <v>16</v>
      </c>
      <c r="L12" s="2">
        <v>1000</v>
      </c>
      <c r="M12" t="s">
        <v>17</v>
      </c>
      <c r="N12" s="2">
        <v>500</v>
      </c>
      <c r="O12" s="2">
        <f t="shared" si="1"/>
        <v>1500</v>
      </c>
    </row>
    <row r="13" spans="1:15" x14ac:dyDescent="0.35">
      <c r="A13">
        <v>12</v>
      </c>
      <c r="B13" t="e" vm="12">
        <v>#VALUE!</v>
      </c>
      <c r="C13" s="1">
        <v>45427</v>
      </c>
      <c r="D13" s="1">
        <v>45434</v>
      </c>
      <c r="E13">
        <v>7</v>
      </c>
      <c r="F13" t="s">
        <v>43</v>
      </c>
      <c r="G13">
        <v>36</v>
      </c>
      <c r="H13" t="str">
        <f t="shared" si="0"/>
        <v>30-40</v>
      </c>
      <c r="I13" t="s">
        <v>14</v>
      </c>
      <c r="J13" t="s">
        <v>44</v>
      </c>
      <c r="K13" t="s">
        <v>29</v>
      </c>
      <c r="L13" s="2">
        <v>800</v>
      </c>
      <c r="M13" t="s">
        <v>30</v>
      </c>
      <c r="N13" s="2">
        <v>100</v>
      </c>
      <c r="O13" s="2">
        <f t="shared" si="1"/>
        <v>900</v>
      </c>
    </row>
    <row r="14" spans="1:15" x14ac:dyDescent="0.35">
      <c r="A14">
        <v>13</v>
      </c>
      <c r="B14" t="e" vm="13">
        <v>#VALUE!</v>
      </c>
      <c r="C14" s="1">
        <v>45453</v>
      </c>
      <c r="D14" s="1">
        <v>45461</v>
      </c>
      <c r="E14">
        <v>8</v>
      </c>
      <c r="F14" t="s">
        <v>45</v>
      </c>
      <c r="G14">
        <v>29</v>
      </c>
      <c r="H14" t="str">
        <f t="shared" si="0"/>
        <v>Under 30</v>
      </c>
      <c r="I14" t="s">
        <v>19</v>
      </c>
      <c r="J14" t="s">
        <v>46</v>
      </c>
      <c r="K14" t="s">
        <v>21</v>
      </c>
      <c r="L14" s="2">
        <v>3000</v>
      </c>
      <c r="M14" t="s">
        <v>17</v>
      </c>
      <c r="N14" s="2">
        <v>1200</v>
      </c>
      <c r="O14" s="2">
        <f t="shared" si="1"/>
        <v>4200</v>
      </c>
    </row>
    <row r="15" spans="1:15" x14ac:dyDescent="0.35">
      <c r="A15">
        <v>14</v>
      </c>
      <c r="B15" t="e" vm="14">
        <v>#VALUE!</v>
      </c>
      <c r="C15" s="1">
        <v>45474</v>
      </c>
      <c r="D15" s="1">
        <v>45483</v>
      </c>
      <c r="E15">
        <v>9</v>
      </c>
      <c r="F15" t="s">
        <v>47</v>
      </c>
      <c r="G15">
        <v>48</v>
      </c>
      <c r="H15" t="str">
        <f t="shared" si="0"/>
        <v>Over 40</v>
      </c>
      <c r="I15" t="s">
        <v>14</v>
      </c>
      <c r="J15" t="s">
        <v>48</v>
      </c>
      <c r="K15" t="s">
        <v>16</v>
      </c>
      <c r="L15" s="2">
        <v>1400</v>
      </c>
      <c r="M15" t="s">
        <v>17</v>
      </c>
      <c r="N15" s="2">
        <v>700</v>
      </c>
      <c r="O15" s="2">
        <f t="shared" si="1"/>
        <v>2100</v>
      </c>
    </row>
    <row r="16" spans="1:15" x14ac:dyDescent="0.35">
      <c r="A16">
        <v>15</v>
      </c>
      <c r="B16" t="e" vm="15">
        <v>#VALUE!</v>
      </c>
      <c r="C16" s="1">
        <v>45524</v>
      </c>
      <c r="D16" s="1">
        <v>45531</v>
      </c>
      <c r="E16">
        <v>7</v>
      </c>
      <c r="F16" t="s">
        <v>49</v>
      </c>
      <c r="G16">
        <v>26</v>
      </c>
      <c r="H16" t="str">
        <f t="shared" si="0"/>
        <v>Under 30</v>
      </c>
      <c r="I16" t="s">
        <v>19</v>
      </c>
      <c r="J16" t="s">
        <v>50</v>
      </c>
      <c r="K16" t="s">
        <v>51</v>
      </c>
      <c r="L16" s="2">
        <v>600</v>
      </c>
      <c r="M16" t="s">
        <v>17</v>
      </c>
      <c r="N16" s="2">
        <v>400</v>
      </c>
      <c r="O16" s="2">
        <f t="shared" si="1"/>
        <v>1000</v>
      </c>
    </row>
    <row r="17" spans="1:15" x14ac:dyDescent="0.35">
      <c r="A17">
        <v>16</v>
      </c>
      <c r="B17" t="e" vm="16">
        <v>#VALUE!</v>
      </c>
      <c r="C17" s="1">
        <v>45540</v>
      </c>
      <c r="D17" s="1">
        <v>45547</v>
      </c>
      <c r="E17">
        <v>7</v>
      </c>
      <c r="F17" t="s">
        <v>52</v>
      </c>
      <c r="G17">
        <v>32</v>
      </c>
      <c r="H17" t="str">
        <f t="shared" si="0"/>
        <v>30-40</v>
      </c>
      <c r="I17" t="s">
        <v>14</v>
      </c>
      <c r="J17" t="s">
        <v>53</v>
      </c>
      <c r="K17" t="s">
        <v>16</v>
      </c>
      <c r="L17" s="2">
        <v>900</v>
      </c>
      <c r="M17" t="s">
        <v>30</v>
      </c>
      <c r="N17" s="2">
        <v>150</v>
      </c>
      <c r="O17" s="2">
        <f t="shared" si="1"/>
        <v>1050</v>
      </c>
    </row>
    <row r="18" spans="1:15" x14ac:dyDescent="0.35">
      <c r="A18">
        <v>17</v>
      </c>
      <c r="B18" t="e" vm="6">
        <v>#VALUE!</v>
      </c>
      <c r="C18" s="1">
        <v>45170</v>
      </c>
      <c r="D18" s="1">
        <v>45179</v>
      </c>
      <c r="E18">
        <v>9</v>
      </c>
      <c r="F18" t="s">
        <v>25</v>
      </c>
      <c r="G18">
        <v>30</v>
      </c>
      <c r="H18" t="str">
        <f t="shared" si="0"/>
        <v>30-40</v>
      </c>
      <c r="I18" t="s">
        <v>19</v>
      </c>
      <c r="J18" t="s">
        <v>15</v>
      </c>
      <c r="K18" t="s">
        <v>16</v>
      </c>
      <c r="L18" s="2">
        <v>900</v>
      </c>
      <c r="M18" t="s">
        <v>17</v>
      </c>
      <c r="N18" s="2">
        <v>400</v>
      </c>
      <c r="O18" s="2">
        <f t="shared" si="1"/>
        <v>1300</v>
      </c>
    </row>
    <row r="19" spans="1:15" x14ac:dyDescent="0.35">
      <c r="A19">
        <v>18</v>
      </c>
      <c r="B19" t="e" vm="3">
        <v>#VALUE!</v>
      </c>
      <c r="C19" s="1">
        <v>45153</v>
      </c>
      <c r="D19" s="1">
        <v>45163</v>
      </c>
      <c r="E19">
        <v>10</v>
      </c>
      <c r="F19" t="s">
        <v>56</v>
      </c>
      <c r="G19">
        <v>28</v>
      </c>
      <c r="H19" t="str">
        <f t="shared" si="0"/>
        <v>Under 30</v>
      </c>
      <c r="I19" t="s">
        <v>14</v>
      </c>
      <c r="J19" t="s">
        <v>46</v>
      </c>
      <c r="K19" t="s">
        <v>21</v>
      </c>
      <c r="L19" s="2">
        <v>1500</v>
      </c>
      <c r="M19" t="s">
        <v>17</v>
      </c>
      <c r="N19" s="2">
        <v>700</v>
      </c>
      <c r="O19" s="2">
        <f t="shared" si="1"/>
        <v>2200</v>
      </c>
    </row>
    <row r="20" spans="1:15" x14ac:dyDescent="0.35">
      <c r="A20">
        <v>19</v>
      </c>
      <c r="B20" t="e" vm="1">
        <v>#VALUE!</v>
      </c>
      <c r="C20" s="1">
        <v>45129</v>
      </c>
      <c r="D20" s="1">
        <v>45135</v>
      </c>
      <c r="E20">
        <v>6</v>
      </c>
      <c r="F20" t="s">
        <v>57</v>
      </c>
      <c r="G20">
        <v>35</v>
      </c>
      <c r="H20" t="str">
        <f t="shared" si="0"/>
        <v>30-40</v>
      </c>
      <c r="I20" t="s">
        <v>19</v>
      </c>
      <c r="J20" t="s">
        <v>26</v>
      </c>
      <c r="K20" t="s">
        <v>16</v>
      </c>
      <c r="L20" s="2">
        <v>1200</v>
      </c>
      <c r="M20" t="s">
        <v>30</v>
      </c>
      <c r="N20" s="2">
        <v>150</v>
      </c>
      <c r="O20" s="2">
        <f t="shared" si="1"/>
        <v>1350</v>
      </c>
    </row>
    <row r="21" spans="1:15" x14ac:dyDescent="0.35">
      <c r="A21">
        <v>20</v>
      </c>
      <c r="B21" t="e" vm="5">
        <v>#VALUE!</v>
      </c>
      <c r="C21" s="1">
        <v>45204</v>
      </c>
      <c r="D21" s="1">
        <v>45214</v>
      </c>
      <c r="E21">
        <v>10</v>
      </c>
      <c r="F21" t="s">
        <v>59</v>
      </c>
      <c r="G21">
        <v>45</v>
      </c>
      <c r="H21" t="str">
        <f t="shared" si="0"/>
        <v>Over 40</v>
      </c>
      <c r="I21" t="s">
        <v>14</v>
      </c>
      <c r="J21" t="s">
        <v>60</v>
      </c>
      <c r="K21" t="s">
        <v>16</v>
      </c>
      <c r="L21" s="2">
        <v>1200</v>
      </c>
      <c r="M21" t="s">
        <v>17</v>
      </c>
      <c r="N21" s="2">
        <v>800</v>
      </c>
      <c r="O21" s="2">
        <f t="shared" si="1"/>
        <v>2000</v>
      </c>
    </row>
    <row r="22" spans="1:15" x14ac:dyDescent="0.35">
      <c r="A22">
        <v>21</v>
      </c>
      <c r="B22" t="e" vm="4">
        <v>#VALUE!</v>
      </c>
      <c r="C22" s="1">
        <v>45250</v>
      </c>
      <c r="D22" s="1">
        <v>45255</v>
      </c>
      <c r="E22">
        <v>5</v>
      </c>
      <c r="F22" t="s">
        <v>61</v>
      </c>
      <c r="G22">
        <v>27</v>
      </c>
      <c r="H22" t="str">
        <f t="shared" si="0"/>
        <v>Under 30</v>
      </c>
      <c r="I22" t="s">
        <v>19</v>
      </c>
      <c r="J22" t="s">
        <v>15</v>
      </c>
      <c r="K22" t="s">
        <v>29</v>
      </c>
      <c r="L22" s="2">
        <v>600</v>
      </c>
      <c r="M22" t="s">
        <v>62</v>
      </c>
      <c r="N22" s="2">
        <v>100</v>
      </c>
      <c r="O22" s="2">
        <f t="shared" si="1"/>
        <v>700</v>
      </c>
    </row>
    <row r="23" spans="1:15" x14ac:dyDescent="0.35">
      <c r="A23">
        <v>22</v>
      </c>
      <c r="B23" t="e" vm="7">
        <v>#VALUE!</v>
      </c>
      <c r="C23" s="1">
        <v>45265</v>
      </c>
      <c r="D23" s="1">
        <v>45272</v>
      </c>
      <c r="E23">
        <v>7</v>
      </c>
      <c r="F23" t="s">
        <v>64</v>
      </c>
      <c r="G23">
        <v>32</v>
      </c>
      <c r="H23" t="str">
        <f t="shared" si="0"/>
        <v>30-40</v>
      </c>
      <c r="I23" t="s">
        <v>14</v>
      </c>
      <c r="J23" t="s">
        <v>33</v>
      </c>
      <c r="K23" t="s">
        <v>16</v>
      </c>
      <c r="L23" s="2">
        <v>1000</v>
      </c>
      <c r="M23" t="s">
        <v>17</v>
      </c>
      <c r="N23" s="2">
        <v>600</v>
      </c>
      <c r="O23" s="2">
        <f t="shared" si="1"/>
        <v>1600</v>
      </c>
    </row>
    <row r="24" spans="1:15" x14ac:dyDescent="0.35">
      <c r="A24">
        <v>23</v>
      </c>
      <c r="B24" t="e" vm="17">
        <v>#VALUE!</v>
      </c>
      <c r="C24" s="1">
        <v>45231</v>
      </c>
      <c r="D24" s="1">
        <v>45238</v>
      </c>
      <c r="E24">
        <v>7</v>
      </c>
      <c r="F24" t="s">
        <v>65</v>
      </c>
      <c r="G24">
        <v>29</v>
      </c>
      <c r="H24" t="str">
        <f t="shared" si="0"/>
        <v>Under 30</v>
      </c>
      <c r="I24" t="s">
        <v>19</v>
      </c>
      <c r="J24" t="s">
        <v>66</v>
      </c>
      <c r="K24" t="s">
        <v>29</v>
      </c>
      <c r="L24" s="2">
        <v>700</v>
      </c>
      <c r="M24" t="s">
        <v>30</v>
      </c>
      <c r="N24" s="2">
        <v>80</v>
      </c>
      <c r="O24" s="2">
        <f t="shared" si="1"/>
        <v>780</v>
      </c>
    </row>
    <row r="25" spans="1:15" x14ac:dyDescent="0.35">
      <c r="A25">
        <v>24</v>
      </c>
      <c r="B25" t="e" vm="18">
        <v>#VALUE!</v>
      </c>
      <c r="C25" s="1">
        <v>45184</v>
      </c>
      <c r="D25" s="1">
        <v>45192</v>
      </c>
      <c r="E25">
        <v>8</v>
      </c>
      <c r="F25" t="s">
        <v>67</v>
      </c>
      <c r="G25">
        <v>40</v>
      </c>
      <c r="H25" t="str">
        <f t="shared" si="0"/>
        <v>30-40</v>
      </c>
      <c r="I25" t="s">
        <v>14</v>
      </c>
      <c r="J25" t="s">
        <v>68</v>
      </c>
      <c r="K25" t="s">
        <v>34</v>
      </c>
      <c r="L25" s="2">
        <v>400</v>
      </c>
      <c r="M25" t="s">
        <v>17</v>
      </c>
      <c r="N25" s="2">
        <v>500</v>
      </c>
      <c r="O25" s="2">
        <f t="shared" si="1"/>
        <v>900</v>
      </c>
    </row>
    <row r="26" spans="1:15" x14ac:dyDescent="0.35">
      <c r="A26">
        <v>25</v>
      </c>
      <c r="B26" t="e" vm="6">
        <v>#VALUE!</v>
      </c>
      <c r="C26" s="1">
        <v>45282</v>
      </c>
      <c r="D26" s="1">
        <v>45288</v>
      </c>
      <c r="E26">
        <v>6</v>
      </c>
      <c r="F26" t="s">
        <v>69</v>
      </c>
      <c r="G26">
        <v>24</v>
      </c>
      <c r="H26" t="str">
        <f t="shared" si="0"/>
        <v>Under 30</v>
      </c>
      <c r="I26" t="s">
        <v>19</v>
      </c>
      <c r="J26" t="s">
        <v>28</v>
      </c>
      <c r="K26" t="s">
        <v>16</v>
      </c>
      <c r="L26" s="2">
        <v>1400</v>
      </c>
      <c r="M26" t="s">
        <v>30</v>
      </c>
      <c r="N26" s="2">
        <v>100</v>
      </c>
      <c r="O26" s="2">
        <f t="shared" si="1"/>
        <v>1500</v>
      </c>
    </row>
    <row r="27" spans="1:15" x14ac:dyDescent="0.35">
      <c r="A27">
        <v>26</v>
      </c>
      <c r="B27" t="e" vm="19">
        <v>#VALUE!</v>
      </c>
      <c r="C27" s="1">
        <v>45139</v>
      </c>
      <c r="D27" s="1">
        <v>45148</v>
      </c>
      <c r="E27">
        <v>9</v>
      </c>
      <c r="F27" t="s">
        <v>70</v>
      </c>
      <c r="G27">
        <v>34</v>
      </c>
      <c r="H27" t="str">
        <f t="shared" si="0"/>
        <v>30-40</v>
      </c>
      <c r="I27" t="s">
        <v>14</v>
      </c>
      <c r="J27" t="s">
        <v>23</v>
      </c>
      <c r="K27" t="s">
        <v>21</v>
      </c>
      <c r="L27" s="2">
        <v>2000</v>
      </c>
      <c r="M27" t="s">
        <v>17</v>
      </c>
      <c r="N27" s="2">
        <v>800</v>
      </c>
      <c r="O27" s="2">
        <f t="shared" si="1"/>
        <v>2800</v>
      </c>
    </row>
    <row r="28" spans="1:15" x14ac:dyDescent="0.35">
      <c r="A28">
        <v>27</v>
      </c>
      <c r="B28" t="e" vm="12">
        <v>#VALUE!</v>
      </c>
      <c r="C28" s="1">
        <v>45219</v>
      </c>
      <c r="D28" s="1">
        <v>45227</v>
      </c>
      <c r="E28">
        <v>8</v>
      </c>
      <c r="F28" t="s">
        <v>71</v>
      </c>
      <c r="G28">
        <v>31</v>
      </c>
      <c r="H28" t="str">
        <f t="shared" si="0"/>
        <v>30-40</v>
      </c>
      <c r="I28" t="s">
        <v>19</v>
      </c>
      <c r="J28" t="s">
        <v>44</v>
      </c>
      <c r="K28" t="s">
        <v>16</v>
      </c>
      <c r="L28" s="2">
        <v>1100</v>
      </c>
      <c r="M28" t="s">
        <v>30</v>
      </c>
      <c r="N28" s="2">
        <v>150</v>
      </c>
      <c r="O28" s="2">
        <f t="shared" si="1"/>
        <v>1250</v>
      </c>
    </row>
    <row r="29" spans="1:15" x14ac:dyDescent="0.35">
      <c r="A29">
        <v>28</v>
      </c>
      <c r="B29" t="e" vm="20">
        <v>#VALUE!</v>
      </c>
      <c r="C29" s="1">
        <v>44691</v>
      </c>
      <c r="D29" s="1">
        <v>44699</v>
      </c>
      <c r="E29">
        <v>8</v>
      </c>
      <c r="F29" t="s">
        <v>73</v>
      </c>
      <c r="G29">
        <v>30</v>
      </c>
      <c r="H29" t="str">
        <f t="shared" si="0"/>
        <v>30-40</v>
      </c>
      <c r="I29" t="s">
        <v>19</v>
      </c>
      <c r="J29" t="s">
        <v>15</v>
      </c>
      <c r="K29" t="s">
        <v>16</v>
      </c>
      <c r="L29" s="2">
        <v>800</v>
      </c>
      <c r="M29" t="s">
        <v>17</v>
      </c>
      <c r="N29" s="2">
        <v>500</v>
      </c>
      <c r="O29" s="2">
        <f t="shared" si="1"/>
        <v>1300</v>
      </c>
    </row>
    <row r="30" spans="1:15" x14ac:dyDescent="0.35">
      <c r="A30">
        <v>29</v>
      </c>
      <c r="B30" t="e" vm="21">
        <v>#VALUE!</v>
      </c>
      <c r="C30" s="1">
        <v>44727</v>
      </c>
      <c r="D30" s="1">
        <v>44734</v>
      </c>
      <c r="E30">
        <v>7</v>
      </c>
      <c r="F30" t="s">
        <v>74</v>
      </c>
      <c r="G30">
        <v>45</v>
      </c>
      <c r="H30" t="str">
        <f t="shared" si="0"/>
        <v>Over 40</v>
      </c>
      <c r="I30" t="s">
        <v>14</v>
      </c>
      <c r="J30" t="s">
        <v>20</v>
      </c>
      <c r="K30" t="s">
        <v>34</v>
      </c>
      <c r="L30" s="2">
        <v>200</v>
      </c>
      <c r="M30" t="s">
        <v>30</v>
      </c>
      <c r="N30" s="2">
        <v>150</v>
      </c>
      <c r="O30" s="2">
        <f t="shared" si="1"/>
        <v>350</v>
      </c>
    </row>
    <row r="31" spans="1:15" x14ac:dyDescent="0.35">
      <c r="A31">
        <v>30</v>
      </c>
      <c r="B31" t="e" vm="22">
        <v>#VALUE!</v>
      </c>
      <c r="C31" s="1">
        <v>44744</v>
      </c>
      <c r="D31" s="1">
        <v>44753</v>
      </c>
      <c r="E31">
        <v>9</v>
      </c>
      <c r="F31" t="s">
        <v>75</v>
      </c>
      <c r="G31">
        <v>25</v>
      </c>
      <c r="H31" t="str">
        <f t="shared" si="0"/>
        <v>Under 30</v>
      </c>
      <c r="I31" t="s">
        <v>14</v>
      </c>
      <c r="J31" t="s">
        <v>23</v>
      </c>
      <c r="K31" t="s">
        <v>29</v>
      </c>
      <c r="L31" s="2">
        <v>600</v>
      </c>
      <c r="M31" t="s">
        <v>127</v>
      </c>
      <c r="N31" s="2">
        <v>300</v>
      </c>
      <c r="O31" s="2">
        <f t="shared" si="1"/>
        <v>900</v>
      </c>
    </row>
    <row r="32" spans="1:15" x14ac:dyDescent="0.35">
      <c r="A32">
        <v>31</v>
      </c>
      <c r="B32" t="e" vm="23">
        <v>#VALUE!</v>
      </c>
      <c r="C32" s="1">
        <v>44793</v>
      </c>
      <c r="D32" s="1">
        <v>44806</v>
      </c>
      <c r="E32">
        <v>13</v>
      </c>
      <c r="F32" t="s">
        <v>76</v>
      </c>
      <c r="G32">
        <v>28</v>
      </c>
      <c r="H32" t="str">
        <f t="shared" si="0"/>
        <v>Under 30</v>
      </c>
      <c r="I32" t="s">
        <v>19</v>
      </c>
      <c r="J32" t="s">
        <v>26</v>
      </c>
      <c r="K32" t="s">
        <v>16</v>
      </c>
      <c r="L32" s="2">
        <v>1000</v>
      </c>
      <c r="M32" t="s">
        <v>127</v>
      </c>
      <c r="N32" s="2">
        <v>500</v>
      </c>
      <c r="O32" s="2">
        <f t="shared" si="1"/>
        <v>1500</v>
      </c>
    </row>
    <row r="33" spans="1:15" x14ac:dyDescent="0.35">
      <c r="A33">
        <v>32</v>
      </c>
      <c r="B33" t="e" vm="24">
        <v>#VALUE!</v>
      </c>
      <c r="C33" s="1">
        <v>44809</v>
      </c>
      <c r="D33" s="1">
        <v>44818</v>
      </c>
      <c r="E33">
        <v>9</v>
      </c>
      <c r="F33" t="s">
        <v>78</v>
      </c>
      <c r="G33">
        <v>33</v>
      </c>
      <c r="H33" t="str">
        <f t="shared" si="0"/>
        <v>30-40</v>
      </c>
      <c r="I33" t="s">
        <v>19</v>
      </c>
      <c r="J33" t="s">
        <v>33</v>
      </c>
      <c r="K33" t="s">
        <v>34</v>
      </c>
      <c r="L33" s="2">
        <v>150</v>
      </c>
      <c r="M33" t="s">
        <v>62</v>
      </c>
      <c r="N33" s="2">
        <v>50</v>
      </c>
      <c r="O33" s="2">
        <f t="shared" si="1"/>
        <v>200</v>
      </c>
    </row>
    <row r="34" spans="1:15" x14ac:dyDescent="0.35">
      <c r="A34">
        <v>33</v>
      </c>
      <c r="B34" t="e" vm="25">
        <v>#VALUE!</v>
      </c>
      <c r="C34" s="1">
        <v>44846</v>
      </c>
      <c r="D34" s="1">
        <v>44854</v>
      </c>
      <c r="E34">
        <v>8</v>
      </c>
      <c r="F34" t="s">
        <v>80</v>
      </c>
      <c r="G34">
        <v>20</v>
      </c>
      <c r="H34" t="str">
        <f t="shared" si="0"/>
        <v>Under 30</v>
      </c>
      <c r="I34" t="s">
        <v>14</v>
      </c>
      <c r="J34" t="s">
        <v>15</v>
      </c>
      <c r="K34" t="s">
        <v>29</v>
      </c>
      <c r="L34" s="2">
        <v>400</v>
      </c>
      <c r="M34" t="s">
        <v>17</v>
      </c>
      <c r="N34" s="2">
        <v>600</v>
      </c>
      <c r="O34" s="2">
        <f t="shared" si="1"/>
        <v>1000</v>
      </c>
    </row>
    <row r="35" spans="1:15" x14ac:dyDescent="0.35">
      <c r="A35">
        <v>34</v>
      </c>
      <c r="B35" t="e" vm="26">
        <v>#VALUE!</v>
      </c>
      <c r="C35" s="1">
        <v>44873</v>
      </c>
      <c r="D35" s="1">
        <v>44880</v>
      </c>
      <c r="E35">
        <v>7</v>
      </c>
      <c r="F35" t="s">
        <v>81</v>
      </c>
      <c r="G35">
        <v>37</v>
      </c>
      <c r="H35" t="str">
        <f t="shared" si="0"/>
        <v>30-40</v>
      </c>
      <c r="I35" t="s">
        <v>19</v>
      </c>
      <c r="J35" t="s">
        <v>20</v>
      </c>
      <c r="K35" t="s">
        <v>16</v>
      </c>
      <c r="L35" s="2">
        <v>700</v>
      </c>
      <c r="M35" t="s">
        <v>30</v>
      </c>
      <c r="N35" s="2">
        <v>100</v>
      </c>
      <c r="O35" s="2">
        <f t="shared" si="1"/>
        <v>800</v>
      </c>
    </row>
    <row r="36" spans="1:15" x14ac:dyDescent="0.35">
      <c r="A36">
        <v>35</v>
      </c>
      <c r="B36" t="e" vm="27">
        <v>#VALUE!</v>
      </c>
      <c r="C36" s="1">
        <v>44931</v>
      </c>
      <c r="D36" s="1">
        <v>44941</v>
      </c>
      <c r="E36">
        <v>10</v>
      </c>
      <c r="F36" t="s">
        <v>82</v>
      </c>
      <c r="G36">
        <v>42</v>
      </c>
      <c r="H36" t="str">
        <f t="shared" si="0"/>
        <v>Over 40</v>
      </c>
      <c r="I36" t="s">
        <v>14</v>
      </c>
      <c r="J36" t="s">
        <v>26</v>
      </c>
      <c r="K36" t="s">
        <v>29</v>
      </c>
      <c r="L36" s="2">
        <v>500</v>
      </c>
      <c r="M36" t="s">
        <v>17</v>
      </c>
      <c r="N36" s="2">
        <v>800</v>
      </c>
      <c r="O36" s="2">
        <f t="shared" si="1"/>
        <v>1300</v>
      </c>
    </row>
    <row r="37" spans="1:15" x14ac:dyDescent="0.35">
      <c r="A37">
        <v>36</v>
      </c>
      <c r="B37" t="e" vm="28">
        <v>#VALUE!</v>
      </c>
      <c r="C37" s="1">
        <v>44971</v>
      </c>
      <c r="D37" s="1">
        <v>44977</v>
      </c>
      <c r="E37">
        <v>6</v>
      </c>
      <c r="F37" t="s">
        <v>84</v>
      </c>
      <c r="G37">
        <v>31</v>
      </c>
      <c r="H37" t="str">
        <f t="shared" si="0"/>
        <v>30-40</v>
      </c>
      <c r="I37" t="s">
        <v>19</v>
      </c>
      <c r="J37" t="s">
        <v>15</v>
      </c>
      <c r="K37" t="s">
        <v>34</v>
      </c>
      <c r="L37" s="2">
        <v>180</v>
      </c>
      <c r="M37" t="s">
        <v>30</v>
      </c>
      <c r="N37" s="2">
        <v>120</v>
      </c>
      <c r="O37" s="2">
        <f t="shared" si="1"/>
        <v>300</v>
      </c>
    </row>
    <row r="38" spans="1:15" x14ac:dyDescent="0.35">
      <c r="A38">
        <v>37</v>
      </c>
      <c r="B38" t="e" vm="29">
        <v>#VALUE!</v>
      </c>
      <c r="C38" s="1">
        <v>45008</v>
      </c>
      <c r="D38" s="1">
        <v>45016</v>
      </c>
      <c r="E38">
        <v>8</v>
      </c>
      <c r="F38" t="s">
        <v>86</v>
      </c>
      <c r="G38">
        <v>27</v>
      </c>
      <c r="H38" t="str">
        <f t="shared" si="0"/>
        <v>Under 30</v>
      </c>
      <c r="I38" t="s">
        <v>14</v>
      </c>
      <c r="J38" t="s">
        <v>23</v>
      </c>
      <c r="K38" t="s">
        <v>16</v>
      </c>
      <c r="L38" s="2">
        <v>900</v>
      </c>
      <c r="M38" t="s">
        <v>127</v>
      </c>
      <c r="N38" s="2">
        <v>400</v>
      </c>
      <c r="O38" s="2">
        <f t="shared" si="1"/>
        <v>1300</v>
      </c>
    </row>
    <row r="39" spans="1:15" x14ac:dyDescent="0.35">
      <c r="A39">
        <v>38</v>
      </c>
      <c r="B39" t="e" vm="30">
        <v>#VALUE!</v>
      </c>
      <c r="C39" s="1">
        <v>45035</v>
      </c>
      <c r="D39" s="1">
        <v>45042</v>
      </c>
      <c r="E39">
        <v>7</v>
      </c>
      <c r="F39" t="s">
        <v>88</v>
      </c>
      <c r="G39">
        <v>38</v>
      </c>
      <c r="H39" t="str">
        <f t="shared" si="0"/>
        <v>30-40</v>
      </c>
      <c r="I39" t="s">
        <v>19</v>
      </c>
      <c r="J39" t="s">
        <v>33</v>
      </c>
      <c r="K39" t="s">
        <v>29</v>
      </c>
      <c r="L39" s="2">
        <v>350</v>
      </c>
      <c r="M39" t="s">
        <v>62</v>
      </c>
      <c r="N39" s="2">
        <v>75</v>
      </c>
      <c r="O39" s="2">
        <f t="shared" si="1"/>
        <v>425</v>
      </c>
    </row>
    <row r="40" spans="1:15" x14ac:dyDescent="0.35">
      <c r="A40">
        <v>39</v>
      </c>
      <c r="B40" t="e" vm="6">
        <v>#VALUE!</v>
      </c>
      <c r="C40" s="1">
        <v>44724</v>
      </c>
      <c r="D40" s="1">
        <v>44731</v>
      </c>
      <c r="E40">
        <v>7</v>
      </c>
      <c r="F40" t="s">
        <v>84</v>
      </c>
      <c r="G40">
        <v>25</v>
      </c>
      <c r="H40" t="str">
        <f t="shared" si="0"/>
        <v>Under 30</v>
      </c>
      <c r="I40" t="s">
        <v>19</v>
      </c>
      <c r="J40" t="s">
        <v>15</v>
      </c>
      <c r="K40" t="s">
        <v>16</v>
      </c>
      <c r="L40" s="2">
        <v>1400</v>
      </c>
      <c r="M40" t="s">
        <v>17</v>
      </c>
      <c r="N40" s="2">
        <v>600</v>
      </c>
      <c r="O40" s="2">
        <f t="shared" si="1"/>
        <v>2000</v>
      </c>
    </row>
    <row r="41" spans="1:15" x14ac:dyDescent="0.35">
      <c r="A41">
        <v>40</v>
      </c>
      <c r="B41" t="e" vm="7">
        <v>#VALUE!</v>
      </c>
      <c r="C41" s="1">
        <v>44928</v>
      </c>
      <c r="D41" s="1">
        <v>44935</v>
      </c>
      <c r="E41">
        <v>7</v>
      </c>
      <c r="F41" t="s">
        <v>89</v>
      </c>
      <c r="G41">
        <v>33</v>
      </c>
      <c r="H41" t="str">
        <f t="shared" si="0"/>
        <v>30-40</v>
      </c>
      <c r="I41" t="s">
        <v>14</v>
      </c>
      <c r="J41" t="s">
        <v>20</v>
      </c>
      <c r="K41" t="s">
        <v>29</v>
      </c>
      <c r="L41" s="2">
        <v>800</v>
      </c>
      <c r="M41" t="s">
        <v>30</v>
      </c>
      <c r="N41" s="2">
        <v>150</v>
      </c>
      <c r="O41" s="2">
        <f t="shared" si="1"/>
        <v>950</v>
      </c>
    </row>
    <row r="42" spans="1:15" x14ac:dyDescent="0.35">
      <c r="A42">
        <v>41</v>
      </c>
      <c r="B42" t="e" vm="5">
        <v>#VALUE!</v>
      </c>
      <c r="C42" s="1">
        <v>44905</v>
      </c>
      <c r="D42" s="1">
        <v>44913</v>
      </c>
      <c r="E42">
        <v>8</v>
      </c>
      <c r="F42" t="s">
        <v>90</v>
      </c>
      <c r="G42">
        <v>28</v>
      </c>
      <c r="H42" t="str">
        <f t="shared" si="0"/>
        <v>Under 30</v>
      </c>
      <c r="I42" t="s">
        <v>19</v>
      </c>
      <c r="J42" t="s">
        <v>46</v>
      </c>
      <c r="K42" t="s">
        <v>34</v>
      </c>
      <c r="L42" s="2">
        <v>500</v>
      </c>
      <c r="M42" t="s">
        <v>17</v>
      </c>
      <c r="N42" s="2">
        <v>900</v>
      </c>
      <c r="O42" s="2">
        <f t="shared" si="1"/>
        <v>1400</v>
      </c>
    </row>
    <row r="43" spans="1:15" x14ac:dyDescent="0.35">
      <c r="A43">
        <v>42</v>
      </c>
      <c r="B43" t="e" vm="11">
        <v>#VALUE!</v>
      </c>
      <c r="C43" s="1">
        <v>45108</v>
      </c>
      <c r="D43" s="1">
        <v>45115</v>
      </c>
      <c r="E43">
        <v>7</v>
      </c>
      <c r="F43" t="s">
        <v>13</v>
      </c>
      <c r="G43">
        <v>45</v>
      </c>
      <c r="H43" t="str">
        <f t="shared" si="0"/>
        <v>Over 40</v>
      </c>
      <c r="I43" t="s">
        <v>14</v>
      </c>
      <c r="J43" t="s">
        <v>15</v>
      </c>
      <c r="K43" t="s">
        <v>21</v>
      </c>
      <c r="L43" s="2">
        <v>2200</v>
      </c>
      <c r="M43" t="s">
        <v>17</v>
      </c>
      <c r="N43" s="2">
        <v>800</v>
      </c>
      <c r="O43" s="2">
        <f t="shared" si="1"/>
        <v>3000</v>
      </c>
    </row>
    <row r="44" spans="1:15" x14ac:dyDescent="0.35">
      <c r="A44">
        <v>43</v>
      </c>
      <c r="B44" t="e" vm="8">
        <v>#VALUE!</v>
      </c>
      <c r="C44" s="1">
        <v>44885</v>
      </c>
      <c r="D44" s="1">
        <v>44892</v>
      </c>
      <c r="E44">
        <v>7</v>
      </c>
      <c r="F44" t="s">
        <v>91</v>
      </c>
      <c r="G44">
        <v>30</v>
      </c>
      <c r="H44" t="str">
        <f t="shared" si="0"/>
        <v>30-40</v>
      </c>
      <c r="I44" t="s">
        <v>19</v>
      </c>
      <c r="J44" t="s">
        <v>36</v>
      </c>
      <c r="K44" t="s">
        <v>16</v>
      </c>
      <c r="L44" s="2">
        <v>1200</v>
      </c>
      <c r="M44" t="s">
        <v>17</v>
      </c>
      <c r="N44" s="2">
        <v>700</v>
      </c>
      <c r="O44" s="2">
        <f t="shared" si="1"/>
        <v>1900</v>
      </c>
    </row>
    <row r="45" spans="1:15" x14ac:dyDescent="0.35">
      <c r="A45">
        <v>44</v>
      </c>
      <c r="B45" t="e" vm="1">
        <v>#VALUE!</v>
      </c>
      <c r="C45" s="1">
        <v>44990</v>
      </c>
      <c r="D45" s="1">
        <v>44997</v>
      </c>
      <c r="E45">
        <v>7</v>
      </c>
      <c r="F45" t="s">
        <v>92</v>
      </c>
      <c r="G45">
        <v>55</v>
      </c>
      <c r="H45" t="str">
        <f t="shared" si="0"/>
        <v>Over 40</v>
      </c>
      <c r="I45" t="s">
        <v>14</v>
      </c>
      <c r="J45" t="s">
        <v>26</v>
      </c>
      <c r="K45" t="s">
        <v>29</v>
      </c>
      <c r="L45" s="2">
        <v>900</v>
      </c>
      <c r="M45" t="s">
        <v>30</v>
      </c>
      <c r="N45" s="2">
        <v>100</v>
      </c>
      <c r="O45" s="2">
        <f t="shared" si="1"/>
        <v>1000</v>
      </c>
    </row>
    <row r="46" spans="1:15" x14ac:dyDescent="0.35">
      <c r="A46">
        <v>45</v>
      </c>
      <c r="B46" t="e" vm="12">
        <v>#VALUE!</v>
      </c>
      <c r="C46" s="1">
        <v>45156</v>
      </c>
      <c r="D46" s="1">
        <v>45163</v>
      </c>
      <c r="E46">
        <v>7</v>
      </c>
      <c r="F46" t="s">
        <v>93</v>
      </c>
      <c r="G46">
        <v>27</v>
      </c>
      <c r="H46" t="str">
        <f t="shared" si="0"/>
        <v>Under 30</v>
      </c>
      <c r="I46" t="s">
        <v>19</v>
      </c>
      <c r="J46" t="s">
        <v>44</v>
      </c>
      <c r="K46" t="s">
        <v>34</v>
      </c>
      <c r="L46" s="2">
        <v>600</v>
      </c>
      <c r="M46" t="s">
        <v>17</v>
      </c>
      <c r="N46" s="2">
        <v>600</v>
      </c>
      <c r="O46" s="2">
        <f t="shared" si="1"/>
        <v>1200</v>
      </c>
    </row>
    <row r="47" spans="1:15" x14ac:dyDescent="0.35">
      <c r="A47">
        <v>46</v>
      </c>
      <c r="B47" t="e" vm="4">
        <v>#VALUE!</v>
      </c>
      <c r="C47" s="1">
        <v>44819</v>
      </c>
      <c r="D47" s="1">
        <v>44826</v>
      </c>
      <c r="E47">
        <v>7</v>
      </c>
      <c r="F47" t="s">
        <v>94</v>
      </c>
      <c r="G47">
        <v>41</v>
      </c>
      <c r="H47" t="str">
        <f t="shared" si="0"/>
        <v>Over 40</v>
      </c>
      <c r="I47" t="s">
        <v>14</v>
      </c>
      <c r="J47" t="s">
        <v>15</v>
      </c>
      <c r="K47" t="s">
        <v>16</v>
      </c>
      <c r="L47" s="2">
        <v>1500</v>
      </c>
      <c r="M47" t="s">
        <v>17</v>
      </c>
      <c r="N47" s="2">
        <v>500</v>
      </c>
      <c r="O47" s="2">
        <f t="shared" si="1"/>
        <v>2000</v>
      </c>
    </row>
    <row r="48" spans="1:15" x14ac:dyDescent="0.35">
      <c r="A48">
        <v>47</v>
      </c>
      <c r="B48" t="e" vm="18">
        <v>#VALUE!</v>
      </c>
      <c r="C48" s="1">
        <v>45047</v>
      </c>
      <c r="D48" s="1">
        <v>45053</v>
      </c>
      <c r="E48">
        <v>6</v>
      </c>
      <c r="F48" t="s">
        <v>95</v>
      </c>
      <c r="G48">
        <v>29</v>
      </c>
      <c r="H48" t="str">
        <f t="shared" si="0"/>
        <v>Under 30</v>
      </c>
      <c r="I48" t="s">
        <v>19</v>
      </c>
      <c r="J48" t="s">
        <v>68</v>
      </c>
      <c r="K48" t="s">
        <v>29</v>
      </c>
      <c r="L48" s="2">
        <v>500</v>
      </c>
      <c r="M48" t="s">
        <v>62</v>
      </c>
      <c r="N48" s="2">
        <v>50</v>
      </c>
      <c r="O48" s="2">
        <f t="shared" si="1"/>
        <v>550</v>
      </c>
    </row>
    <row r="49" spans="1:15" x14ac:dyDescent="0.35">
      <c r="A49">
        <v>48</v>
      </c>
      <c r="B49" t="e" vm="31">
        <v>#VALUE!</v>
      </c>
      <c r="C49" s="1">
        <v>44752</v>
      </c>
      <c r="D49" s="1">
        <v>44759</v>
      </c>
      <c r="E49">
        <v>7</v>
      </c>
      <c r="F49" t="s">
        <v>96</v>
      </c>
      <c r="G49">
        <v>24</v>
      </c>
      <c r="H49" t="str">
        <f t="shared" si="0"/>
        <v>Under 30</v>
      </c>
      <c r="I49" t="s">
        <v>14</v>
      </c>
      <c r="J49" t="s">
        <v>23</v>
      </c>
      <c r="K49" t="s">
        <v>34</v>
      </c>
      <c r="L49" s="2">
        <v>400</v>
      </c>
      <c r="M49" t="s">
        <v>30</v>
      </c>
      <c r="N49" s="2">
        <v>150</v>
      </c>
      <c r="O49" s="2">
        <f t="shared" si="1"/>
        <v>550</v>
      </c>
    </row>
    <row r="50" spans="1:15" x14ac:dyDescent="0.35">
      <c r="A50">
        <v>49</v>
      </c>
      <c r="B50" t="e" vm="9">
        <v>#VALUE!</v>
      </c>
      <c r="C50" s="1">
        <v>45097</v>
      </c>
      <c r="D50" s="1">
        <v>45105</v>
      </c>
      <c r="E50">
        <v>8</v>
      </c>
      <c r="F50" t="s">
        <v>97</v>
      </c>
      <c r="G50">
        <v>31</v>
      </c>
      <c r="H50" t="str">
        <f t="shared" si="0"/>
        <v>30-40</v>
      </c>
      <c r="I50" t="s">
        <v>19</v>
      </c>
      <c r="J50" t="s">
        <v>38</v>
      </c>
      <c r="K50" t="s">
        <v>16</v>
      </c>
      <c r="L50" s="2">
        <v>1100</v>
      </c>
      <c r="M50" t="s">
        <v>17</v>
      </c>
      <c r="N50" s="2">
        <v>700</v>
      </c>
      <c r="O50" s="2">
        <f t="shared" si="1"/>
        <v>1800</v>
      </c>
    </row>
    <row r="51" spans="1:15" x14ac:dyDescent="0.35">
      <c r="A51">
        <v>50</v>
      </c>
      <c r="B51" t="e" vm="6">
        <v>#VALUE!</v>
      </c>
      <c r="C51" s="1">
        <v>45153</v>
      </c>
      <c r="D51" s="1">
        <v>45160</v>
      </c>
      <c r="E51">
        <v>7</v>
      </c>
      <c r="F51" t="s">
        <v>98</v>
      </c>
      <c r="G51">
        <v>31</v>
      </c>
      <c r="H51" t="str">
        <f t="shared" si="0"/>
        <v>30-40</v>
      </c>
      <c r="I51" t="s">
        <v>19</v>
      </c>
      <c r="J51" t="s">
        <v>20</v>
      </c>
      <c r="K51" t="s">
        <v>16</v>
      </c>
      <c r="L51" s="2">
        <v>1200</v>
      </c>
      <c r="M51" t="s">
        <v>30</v>
      </c>
      <c r="N51" s="2">
        <v>300</v>
      </c>
      <c r="O51" s="2">
        <f t="shared" si="1"/>
        <v>1500</v>
      </c>
    </row>
    <row r="52" spans="1:15" x14ac:dyDescent="0.35">
      <c r="A52">
        <v>51</v>
      </c>
      <c r="B52" t="e" vm="5">
        <v>#VALUE!</v>
      </c>
      <c r="C52" s="1">
        <v>45209</v>
      </c>
      <c r="D52" s="1">
        <v>45219</v>
      </c>
      <c r="E52">
        <v>10</v>
      </c>
      <c r="F52" t="s">
        <v>70</v>
      </c>
      <c r="G52">
        <v>25</v>
      </c>
      <c r="H52" t="str">
        <f t="shared" si="0"/>
        <v>Under 30</v>
      </c>
      <c r="I52" t="s">
        <v>14</v>
      </c>
      <c r="J52" t="s">
        <v>15</v>
      </c>
      <c r="K52" t="s">
        <v>34</v>
      </c>
      <c r="L52" s="2">
        <v>500</v>
      </c>
      <c r="M52" t="s">
        <v>62</v>
      </c>
      <c r="N52" s="2">
        <v>100</v>
      </c>
      <c r="O52" s="2">
        <f t="shared" si="1"/>
        <v>600</v>
      </c>
    </row>
    <row r="53" spans="1:15" x14ac:dyDescent="0.35">
      <c r="A53">
        <v>52</v>
      </c>
      <c r="B53" t="e" vm="7">
        <v>#VALUE!</v>
      </c>
      <c r="C53" s="1">
        <v>45235</v>
      </c>
      <c r="D53" s="1">
        <v>45242</v>
      </c>
      <c r="E53">
        <v>7</v>
      </c>
      <c r="F53" t="s">
        <v>99</v>
      </c>
      <c r="G53">
        <v>27</v>
      </c>
      <c r="H53" t="str">
        <f t="shared" si="0"/>
        <v>Under 30</v>
      </c>
      <c r="I53" t="s">
        <v>19</v>
      </c>
      <c r="J53" t="s">
        <v>100</v>
      </c>
      <c r="K53" t="s">
        <v>29</v>
      </c>
      <c r="L53" s="2">
        <v>900</v>
      </c>
      <c r="M53" t="s">
        <v>127</v>
      </c>
      <c r="N53" s="2">
        <v>200</v>
      </c>
      <c r="O53" s="2">
        <f t="shared" si="1"/>
        <v>1100</v>
      </c>
    </row>
    <row r="54" spans="1:15" x14ac:dyDescent="0.35">
      <c r="A54">
        <v>53</v>
      </c>
      <c r="B54" t="e" vm="4">
        <v>#VALUE!</v>
      </c>
      <c r="C54" s="1">
        <v>45284</v>
      </c>
      <c r="D54" s="1">
        <v>45291</v>
      </c>
      <c r="E54">
        <v>7</v>
      </c>
      <c r="F54" t="s">
        <v>101</v>
      </c>
      <c r="G54">
        <v>28</v>
      </c>
      <c r="H54" t="str">
        <f t="shared" si="0"/>
        <v>Under 30</v>
      </c>
      <c r="I54" t="s">
        <v>19</v>
      </c>
      <c r="J54" t="s">
        <v>20</v>
      </c>
      <c r="K54" t="s">
        <v>16</v>
      </c>
      <c r="L54" s="2">
        <v>1400</v>
      </c>
      <c r="M54" t="s">
        <v>17</v>
      </c>
      <c r="N54" s="2">
        <v>800</v>
      </c>
      <c r="O54" s="2">
        <f t="shared" si="1"/>
        <v>2200</v>
      </c>
    </row>
    <row r="55" spans="1:15" x14ac:dyDescent="0.35">
      <c r="A55">
        <v>54</v>
      </c>
      <c r="B55" t="e" vm="8">
        <v>#VALUE!</v>
      </c>
      <c r="C55" s="1">
        <v>45306</v>
      </c>
      <c r="D55" s="1">
        <v>45315</v>
      </c>
      <c r="E55">
        <v>9</v>
      </c>
      <c r="F55" t="s">
        <v>102</v>
      </c>
      <c r="G55">
        <v>30</v>
      </c>
      <c r="H55" t="str">
        <f t="shared" si="0"/>
        <v>30-40</v>
      </c>
      <c r="I55" t="s">
        <v>14</v>
      </c>
      <c r="J55" t="s">
        <v>36</v>
      </c>
      <c r="K55" t="s">
        <v>29</v>
      </c>
      <c r="L55" s="2">
        <v>800</v>
      </c>
      <c r="M55" t="s">
        <v>30</v>
      </c>
      <c r="N55" s="2">
        <v>150</v>
      </c>
      <c r="O55" s="2">
        <f t="shared" si="1"/>
        <v>950</v>
      </c>
    </row>
    <row r="56" spans="1:15" x14ac:dyDescent="0.35">
      <c r="A56">
        <v>55</v>
      </c>
      <c r="B56" t="e" vm="18">
        <v>#VALUE!</v>
      </c>
      <c r="C56" s="1">
        <v>45323</v>
      </c>
      <c r="D56" s="1">
        <v>45331</v>
      </c>
      <c r="E56">
        <v>8</v>
      </c>
      <c r="F56" t="s">
        <v>103</v>
      </c>
      <c r="G56">
        <v>23</v>
      </c>
      <c r="H56" t="str">
        <f t="shared" si="0"/>
        <v>Under 30</v>
      </c>
      <c r="I56" t="s">
        <v>19</v>
      </c>
      <c r="J56" t="s">
        <v>68</v>
      </c>
      <c r="K56" t="s">
        <v>34</v>
      </c>
      <c r="L56" s="2">
        <v>400</v>
      </c>
      <c r="M56" t="s">
        <v>62</v>
      </c>
      <c r="N56" s="2">
        <v>50</v>
      </c>
      <c r="O56" s="2">
        <f t="shared" si="1"/>
        <v>450</v>
      </c>
    </row>
    <row r="57" spans="1:15" x14ac:dyDescent="0.35">
      <c r="A57">
        <v>56</v>
      </c>
      <c r="B57" t="e" vm="1">
        <v>#VALUE!</v>
      </c>
      <c r="C57" s="1">
        <v>45366</v>
      </c>
      <c r="D57" s="1">
        <v>45374</v>
      </c>
      <c r="E57">
        <v>8</v>
      </c>
      <c r="F57" t="s">
        <v>104</v>
      </c>
      <c r="G57">
        <v>35</v>
      </c>
      <c r="H57" t="str">
        <f t="shared" si="0"/>
        <v>30-40</v>
      </c>
      <c r="I57" t="s">
        <v>14</v>
      </c>
      <c r="J57" t="s">
        <v>26</v>
      </c>
      <c r="K57" t="s">
        <v>16</v>
      </c>
      <c r="L57" s="2">
        <v>1000</v>
      </c>
      <c r="M57" t="s">
        <v>30</v>
      </c>
      <c r="N57" s="2">
        <v>200</v>
      </c>
      <c r="O57" s="2">
        <f t="shared" si="1"/>
        <v>1200</v>
      </c>
    </row>
    <row r="58" spans="1:15" x14ac:dyDescent="0.35">
      <c r="A58">
        <v>57</v>
      </c>
      <c r="B58" t="e" vm="12">
        <v>#VALUE!</v>
      </c>
      <c r="C58" s="1">
        <v>45387</v>
      </c>
      <c r="D58" s="1">
        <v>45395</v>
      </c>
      <c r="E58">
        <v>8</v>
      </c>
      <c r="F58" t="s">
        <v>105</v>
      </c>
      <c r="G58">
        <v>29</v>
      </c>
      <c r="H58" t="str">
        <f t="shared" si="0"/>
        <v>Under 30</v>
      </c>
      <c r="I58" t="s">
        <v>19</v>
      </c>
      <c r="J58" t="s">
        <v>44</v>
      </c>
      <c r="K58" t="s">
        <v>29</v>
      </c>
      <c r="L58" s="2">
        <v>700</v>
      </c>
      <c r="M58" t="s">
        <v>127</v>
      </c>
      <c r="N58" s="2">
        <v>250</v>
      </c>
      <c r="O58" s="2">
        <f t="shared" si="1"/>
        <v>950</v>
      </c>
    </row>
    <row r="59" spans="1:15" x14ac:dyDescent="0.35">
      <c r="A59">
        <v>58</v>
      </c>
      <c r="B59" t="e" vm="32">
        <v>#VALUE!</v>
      </c>
      <c r="C59" s="1">
        <v>45422</v>
      </c>
      <c r="D59" s="1">
        <v>45430</v>
      </c>
      <c r="E59">
        <v>8</v>
      </c>
      <c r="F59" t="s">
        <v>106</v>
      </c>
      <c r="G59">
        <v>27</v>
      </c>
      <c r="H59" t="str">
        <f t="shared" si="0"/>
        <v>Under 30</v>
      </c>
      <c r="I59" t="s">
        <v>14</v>
      </c>
      <c r="J59" t="s">
        <v>100</v>
      </c>
      <c r="K59" t="s">
        <v>34</v>
      </c>
      <c r="L59" s="2">
        <v>500</v>
      </c>
      <c r="M59" t="s">
        <v>107</v>
      </c>
      <c r="N59" s="2">
        <v>20</v>
      </c>
      <c r="O59" s="2">
        <f t="shared" si="1"/>
        <v>520</v>
      </c>
    </row>
    <row r="60" spans="1:15" x14ac:dyDescent="0.35">
      <c r="A60">
        <v>59</v>
      </c>
      <c r="B60" t="e" vm="33">
        <v>#VALUE!</v>
      </c>
      <c r="C60" s="1">
        <v>45463</v>
      </c>
      <c r="D60" s="1">
        <v>45470</v>
      </c>
      <c r="E60">
        <v>7</v>
      </c>
      <c r="F60" t="s">
        <v>108</v>
      </c>
      <c r="G60">
        <v>26</v>
      </c>
      <c r="H60" t="str">
        <f t="shared" si="0"/>
        <v>Under 30</v>
      </c>
      <c r="I60" t="s">
        <v>14</v>
      </c>
      <c r="J60" t="s">
        <v>46</v>
      </c>
      <c r="K60" t="s">
        <v>16</v>
      </c>
      <c r="L60" s="2">
        <v>1200</v>
      </c>
      <c r="M60" t="s">
        <v>127</v>
      </c>
      <c r="N60" s="2">
        <v>300</v>
      </c>
      <c r="O60" s="2">
        <f t="shared" si="1"/>
        <v>1500</v>
      </c>
    </row>
    <row r="61" spans="1:15" x14ac:dyDescent="0.35">
      <c r="A61">
        <v>60</v>
      </c>
      <c r="B61" t="e" vm="17">
        <v>#VALUE!</v>
      </c>
      <c r="C61" s="1">
        <v>45488</v>
      </c>
      <c r="D61" s="1">
        <v>45496</v>
      </c>
      <c r="E61">
        <v>8</v>
      </c>
      <c r="F61" t="s">
        <v>109</v>
      </c>
      <c r="G61">
        <v>33</v>
      </c>
      <c r="H61" t="str">
        <f t="shared" si="0"/>
        <v>30-40</v>
      </c>
      <c r="I61" t="s">
        <v>19</v>
      </c>
      <c r="J61" t="s">
        <v>66</v>
      </c>
      <c r="K61" t="s">
        <v>29</v>
      </c>
      <c r="L61" s="2">
        <v>800</v>
      </c>
      <c r="M61" t="s">
        <v>30</v>
      </c>
      <c r="N61" s="2">
        <v>100</v>
      </c>
      <c r="O61" s="2">
        <f t="shared" si="1"/>
        <v>900</v>
      </c>
    </row>
    <row r="62" spans="1:15" x14ac:dyDescent="0.35">
      <c r="A62">
        <v>61</v>
      </c>
      <c r="B62" t="e" vm="6">
        <v>#VALUE!</v>
      </c>
      <c r="C62" s="1">
        <v>44754</v>
      </c>
      <c r="D62" s="1">
        <v>44760</v>
      </c>
      <c r="E62">
        <v>6</v>
      </c>
      <c r="F62" t="s">
        <v>110</v>
      </c>
      <c r="G62">
        <v>35</v>
      </c>
      <c r="H62" t="str">
        <f t="shared" si="0"/>
        <v>30-40</v>
      </c>
      <c r="I62" t="s">
        <v>19</v>
      </c>
      <c r="J62" t="s">
        <v>15</v>
      </c>
      <c r="K62" t="s">
        <v>16</v>
      </c>
      <c r="L62" s="2">
        <v>1200</v>
      </c>
      <c r="M62" t="s">
        <v>17</v>
      </c>
      <c r="N62" s="2">
        <v>800</v>
      </c>
      <c r="O62" s="2">
        <f t="shared" si="1"/>
        <v>2000</v>
      </c>
    </row>
    <row r="63" spans="1:15" x14ac:dyDescent="0.35">
      <c r="A63">
        <v>62</v>
      </c>
      <c r="B63" t="e" vm="5">
        <v>#VALUE!</v>
      </c>
      <c r="C63" s="1">
        <v>44807</v>
      </c>
      <c r="D63" s="1">
        <v>44814</v>
      </c>
      <c r="E63">
        <v>7</v>
      </c>
      <c r="F63" t="s">
        <v>59</v>
      </c>
      <c r="G63">
        <v>28</v>
      </c>
      <c r="H63" t="str">
        <f t="shared" si="0"/>
        <v>Under 30</v>
      </c>
      <c r="I63" t="s">
        <v>14</v>
      </c>
      <c r="J63" t="s">
        <v>60</v>
      </c>
      <c r="K63" t="s">
        <v>34</v>
      </c>
      <c r="L63" s="2">
        <v>400</v>
      </c>
      <c r="M63" t="s">
        <v>30</v>
      </c>
      <c r="N63" s="2">
        <v>300</v>
      </c>
      <c r="O63" s="2">
        <f t="shared" si="1"/>
        <v>700</v>
      </c>
    </row>
    <row r="64" spans="1:15" x14ac:dyDescent="0.35">
      <c r="A64">
        <v>63</v>
      </c>
      <c r="B64" t="e" vm="34">
        <v>#VALUE!</v>
      </c>
      <c r="C64" s="1">
        <v>44933</v>
      </c>
      <c r="D64" s="1">
        <v>44942</v>
      </c>
      <c r="E64">
        <v>9</v>
      </c>
      <c r="F64" t="s">
        <v>111</v>
      </c>
      <c r="G64">
        <v>29</v>
      </c>
      <c r="H64" t="str">
        <f t="shared" si="0"/>
        <v>Under 30</v>
      </c>
      <c r="I64" t="s">
        <v>19</v>
      </c>
      <c r="J64" t="s">
        <v>26</v>
      </c>
      <c r="K64" t="s">
        <v>112</v>
      </c>
      <c r="L64" s="2">
        <v>800</v>
      </c>
      <c r="M64" t="s">
        <v>127</v>
      </c>
      <c r="N64" s="2">
        <v>200</v>
      </c>
      <c r="O64" s="2">
        <f t="shared" si="1"/>
        <v>1000</v>
      </c>
    </row>
    <row r="65" spans="1:15" x14ac:dyDescent="0.35">
      <c r="A65">
        <v>64</v>
      </c>
      <c r="B65" t="e" vm="7">
        <v>#VALUE!</v>
      </c>
      <c r="C65" s="1">
        <v>45100</v>
      </c>
      <c r="D65" s="1">
        <v>45106</v>
      </c>
      <c r="E65">
        <v>6</v>
      </c>
      <c r="F65" t="s">
        <v>22</v>
      </c>
      <c r="G65">
        <v>43</v>
      </c>
      <c r="H65" t="str">
        <f t="shared" si="0"/>
        <v>Over 40</v>
      </c>
      <c r="I65" t="s">
        <v>14</v>
      </c>
      <c r="J65" t="s">
        <v>33</v>
      </c>
      <c r="K65" t="s">
        <v>16</v>
      </c>
      <c r="L65" s="2">
        <v>1500</v>
      </c>
      <c r="M65" t="s">
        <v>17</v>
      </c>
      <c r="N65" s="2">
        <v>1200</v>
      </c>
      <c r="O65" s="2">
        <f t="shared" si="1"/>
        <v>2700</v>
      </c>
    </row>
    <row r="66" spans="1:15" x14ac:dyDescent="0.35">
      <c r="A66">
        <v>65</v>
      </c>
      <c r="B66" t="e" vm="12">
        <v>#VALUE!</v>
      </c>
      <c r="C66" s="1">
        <v>45156</v>
      </c>
      <c r="D66" s="1">
        <v>45163</v>
      </c>
      <c r="E66">
        <v>7</v>
      </c>
      <c r="F66" t="s">
        <v>113</v>
      </c>
      <c r="G66">
        <v>31</v>
      </c>
      <c r="H66" t="str">
        <f t="shared" si="0"/>
        <v>30-40</v>
      </c>
      <c r="I66" t="s">
        <v>19</v>
      </c>
      <c r="J66" t="s">
        <v>44</v>
      </c>
      <c r="K66" t="s">
        <v>112</v>
      </c>
      <c r="L66" s="2">
        <v>900</v>
      </c>
      <c r="M66" t="s">
        <v>17</v>
      </c>
      <c r="N66" s="2">
        <v>700</v>
      </c>
      <c r="O66" s="2">
        <f t="shared" si="1"/>
        <v>1600</v>
      </c>
    </row>
    <row r="67" spans="1:15" x14ac:dyDescent="0.35">
      <c r="A67">
        <v>66</v>
      </c>
      <c r="B67" t="e" vm="3">
        <v>#VALUE!</v>
      </c>
      <c r="C67" s="1">
        <v>45323</v>
      </c>
      <c r="D67" s="1">
        <v>45330</v>
      </c>
      <c r="E67">
        <v>7</v>
      </c>
      <c r="F67" t="s">
        <v>114</v>
      </c>
      <c r="G67">
        <v>27</v>
      </c>
      <c r="H67" t="str">
        <f t="shared" ref="H67:H130" si="2">IF(G67&lt;30, "Under 30", IF(G67&lt;=40, "30-40", "Over 40"))</f>
        <v>Under 30</v>
      </c>
      <c r="I67" t="s">
        <v>14</v>
      </c>
      <c r="J67" t="s">
        <v>15</v>
      </c>
      <c r="K67" t="s">
        <v>21</v>
      </c>
      <c r="L67" s="2">
        <v>2200</v>
      </c>
      <c r="M67" t="s">
        <v>17</v>
      </c>
      <c r="N67" s="2">
        <v>1000</v>
      </c>
      <c r="O67" s="2">
        <f t="shared" ref="O67:O115" si="3">SUM(L67,N67)</f>
        <v>3200</v>
      </c>
    </row>
    <row r="68" spans="1:15" x14ac:dyDescent="0.35">
      <c r="A68">
        <v>67</v>
      </c>
      <c r="B68" t="e" vm="6">
        <v>#VALUE!</v>
      </c>
      <c r="C68" s="1">
        <v>45418</v>
      </c>
      <c r="D68" s="1">
        <v>45424</v>
      </c>
      <c r="E68">
        <v>6</v>
      </c>
      <c r="F68" t="s">
        <v>115</v>
      </c>
      <c r="G68">
        <v>39</v>
      </c>
      <c r="H68" t="str">
        <f t="shared" si="2"/>
        <v>30-40</v>
      </c>
      <c r="I68" t="s">
        <v>19</v>
      </c>
      <c r="J68" t="s">
        <v>116</v>
      </c>
      <c r="K68" t="s">
        <v>16</v>
      </c>
      <c r="L68" s="2">
        <v>1100</v>
      </c>
      <c r="M68" t="s">
        <v>30</v>
      </c>
      <c r="N68" s="2">
        <v>200</v>
      </c>
      <c r="O68" s="2">
        <f t="shared" si="3"/>
        <v>1300</v>
      </c>
    </row>
    <row r="69" spans="1:15" x14ac:dyDescent="0.35">
      <c r="A69">
        <v>68</v>
      </c>
      <c r="B69" t="e" vm="4">
        <v>#VALUE!</v>
      </c>
      <c r="C69" s="1">
        <v>45493</v>
      </c>
      <c r="D69" s="1">
        <v>45499</v>
      </c>
      <c r="E69">
        <v>6</v>
      </c>
      <c r="F69" t="s">
        <v>117</v>
      </c>
      <c r="G69">
        <v>25</v>
      </c>
      <c r="H69" t="str">
        <f t="shared" si="2"/>
        <v>Under 30</v>
      </c>
      <c r="I69" t="s">
        <v>14</v>
      </c>
      <c r="J69" t="s">
        <v>15</v>
      </c>
      <c r="K69" t="s">
        <v>112</v>
      </c>
      <c r="L69" s="2">
        <v>1000</v>
      </c>
      <c r="M69" t="s">
        <v>17</v>
      </c>
      <c r="N69" s="2">
        <v>800</v>
      </c>
      <c r="O69" s="2">
        <f t="shared" si="3"/>
        <v>1800</v>
      </c>
    </row>
    <row r="70" spans="1:15" x14ac:dyDescent="0.35">
      <c r="A70">
        <v>69</v>
      </c>
      <c r="B70" t="e" vm="18">
        <v>#VALUE!</v>
      </c>
      <c r="C70" s="1">
        <v>45543</v>
      </c>
      <c r="D70" s="1">
        <v>45551</v>
      </c>
      <c r="E70">
        <v>8</v>
      </c>
      <c r="F70" t="s">
        <v>118</v>
      </c>
      <c r="G70">
        <v>33</v>
      </c>
      <c r="H70" t="str">
        <f t="shared" si="2"/>
        <v>30-40</v>
      </c>
      <c r="I70" t="s">
        <v>19</v>
      </c>
      <c r="J70" t="s">
        <v>68</v>
      </c>
      <c r="K70" t="s">
        <v>34</v>
      </c>
      <c r="L70" s="2">
        <v>300</v>
      </c>
      <c r="M70" t="s">
        <v>17</v>
      </c>
      <c r="N70" s="2">
        <v>700</v>
      </c>
      <c r="O70" s="2">
        <f t="shared" si="3"/>
        <v>1000</v>
      </c>
    </row>
    <row r="71" spans="1:15" x14ac:dyDescent="0.35">
      <c r="A71">
        <v>70</v>
      </c>
      <c r="B71" t="e" vm="17">
        <v>#VALUE!</v>
      </c>
      <c r="C71" s="1">
        <v>45702</v>
      </c>
      <c r="D71" s="1">
        <v>45708</v>
      </c>
      <c r="E71">
        <v>6</v>
      </c>
      <c r="F71" t="s">
        <v>119</v>
      </c>
      <c r="G71">
        <v>41</v>
      </c>
      <c r="H71" t="str">
        <f t="shared" si="2"/>
        <v>Over 40</v>
      </c>
      <c r="I71" t="s">
        <v>14</v>
      </c>
      <c r="J71" t="s">
        <v>66</v>
      </c>
      <c r="K71" t="s">
        <v>16</v>
      </c>
      <c r="L71" s="2">
        <v>1300</v>
      </c>
      <c r="M71" t="s">
        <v>30</v>
      </c>
      <c r="N71" s="2">
        <v>100</v>
      </c>
      <c r="O71" s="2">
        <f t="shared" si="3"/>
        <v>1400</v>
      </c>
    </row>
    <row r="72" spans="1:15" x14ac:dyDescent="0.35">
      <c r="A72">
        <v>71</v>
      </c>
      <c r="B72" t="e" vm="3">
        <v>#VALUE!</v>
      </c>
      <c r="C72" s="1">
        <v>45798</v>
      </c>
      <c r="D72" s="1">
        <v>45806</v>
      </c>
      <c r="E72">
        <v>8</v>
      </c>
      <c r="F72" t="s">
        <v>120</v>
      </c>
      <c r="G72">
        <v>37</v>
      </c>
      <c r="H72" t="str">
        <f t="shared" si="2"/>
        <v>30-40</v>
      </c>
      <c r="I72" t="s">
        <v>19</v>
      </c>
      <c r="J72" t="s">
        <v>26</v>
      </c>
      <c r="K72" t="s">
        <v>21</v>
      </c>
      <c r="L72" s="2">
        <v>1800</v>
      </c>
      <c r="M72" t="s">
        <v>17</v>
      </c>
      <c r="N72" s="2">
        <v>1000</v>
      </c>
      <c r="O72" s="2">
        <f t="shared" si="3"/>
        <v>2800</v>
      </c>
    </row>
    <row r="73" spans="1:15" x14ac:dyDescent="0.35">
      <c r="A73">
        <v>72</v>
      </c>
      <c r="B73" t="s">
        <v>183</v>
      </c>
      <c r="C73" s="1" t="s">
        <v>183</v>
      </c>
      <c r="D73" s="1" t="s">
        <v>183</v>
      </c>
      <c r="E73" t="s">
        <v>183</v>
      </c>
      <c r="F73" t="s">
        <v>183</v>
      </c>
      <c r="G73" t="s">
        <v>183</v>
      </c>
      <c r="H73" t="str">
        <f t="shared" si="2"/>
        <v>Over 40</v>
      </c>
      <c r="I73" t="s">
        <v>183</v>
      </c>
      <c r="J73" t="s">
        <v>183</v>
      </c>
      <c r="K73" t="s">
        <v>183</v>
      </c>
      <c r="L73" s="2" t="s">
        <v>183</v>
      </c>
      <c r="M73" t="s">
        <v>183</v>
      </c>
      <c r="N73" s="2" t="s">
        <v>183</v>
      </c>
      <c r="O73" s="2">
        <f t="shared" si="3"/>
        <v>0</v>
      </c>
    </row>
    <row r="74" spans="1:15" x14ac:dyDescent="0.35">
      <c r="A74">
        <v>73</v>
      </c>
      <c r="B74" t="e" vm="3">
        <v>#VALUE!</v>
      </c>
      <c r="C74" s="1">
        <v>44778</v>
      </c>
      <c r="D74" s="1">
        <v>44785</v>
      </c>
      <c r="E74">
        <v>7</v>
      </c>
      <c r="F74" t="s">
        <v>121</v>
      </c>
      <c r="G74">
        <v>35</v>
      </c>
      <c r="H74" t="str">
        <f t="shared" si="2"/>
        <v>30-40</v>
      </c>
      <c r="I74" t="s">
        <v>19</v>
      </c>
      <c r="J74" t="s">
        <v>100</v>
      </c>
      <c r="K74" t="s">
        <v>21</v>
      </c>
      <c r="L74" s="2">
        <v>500</v>
      </c>
      <c r="M74" t="s">
        <v>17</v>
      </c>
      <c r="N74" s="2">
        <v>800</v>
      </c>
      <c r="O74" s="2">
        <f t="shared" si="3"/>
        <v>1300</v>
      </c>
    </row>
    <row r="75" spans="1:15" x14ac:dyDescent="0.35">
      <c r="A75">
        <v>74</v>
      </c>
      <c r="B75" t="e" vm="5">
        <v>#VALUE!</v>
      </c>
      <c r="C75" s="1">
        <v>44927</v>
      </c>
      <c r="D75" s="1">
        <v>44935</v>
      </c>
      <c r="E75">
        <v>8</v>
      </c>
      <c r="F75" t="s">
        <v>122</v>
      </c>
      <c r="G75">
        <v>29</v>
      </c>
      <c r="H75" t="str">
        <f t="shared" si="2"/>
        <v>Under 30</v>
      </c>
      <c r="I75" t="s">
        <v>14</v>
      </c>
      <c r="J75" t="s">
        <v>15</v>
      </c>
      <c r="K75" t="s">
        <v>16</v>
      </c>
      <c r="L75" s="2">
        <v>1000</v>
      </c>
      <c r="M75" t="s">
        <v>30</v>
      </c>
      <c r="N75" s="2">
        <v>200</v>
      </c>
      <c r="O75" s="2">
        <f t="shared" si="3"/>
        <v>1200</v>
      </c>
    </row>
    <row r="76" spans="1:15" x14ac:dyDescent="0.35">
      <c r="A76">
        <v>75</v>
      </c>
      <c r="B76" t="e" vm="11">
        <v>#VALUE!</v>
      </c>
      <c r="C76" s="1">
        <v>45031</v>
      </c>
      <c r="D76" s="1">
        <v>45038</v>
      </c>
      <c r="E76">
        <v>7</v>
      </c>
      <c r="F76" t="s">
        <v>123</v>
      </c>
      <c r="G76">
        <v>42</v>
      </c>
      <c r="H76" t="str">
        <f t="shared" si="2"/>
        <v>Over 40</v>
      </c>
      <c r="I76" t="s">
        <v>19</v>
      </c>
      <c r="J76" t="s">
        <v>42</v>
      </c>
      <c r="K76" t="s">
        <v>21</v>
      </c>
      <c r="L76" s="2">
        <v>800</v>
      </c>
      <c r="M76" t="s">
        <v>17</v>
      </c>
      <c r="N76" s="2">
        <v>500</v>
      </c>
      <c r="O76" s="2">
        <f t="shared" si="3"/>
        <v>1300</v>
      </c>
    </row>
    <row r="77" spans="1:15" x14ac:dyDescent="0.35">
      <c r="A77">
        <v>76</v>
      </c>
      <c r="B77" t="e" vm="6">
        <v>#VALUE!</v>
      </c>
      <c r="C77" s="1">
        <v>45084</v>
      </c>
      <c r="D77" s="1">
        <v>45091</v>
      </c>
      <c r="E77">
        <v>7</v>
      </c>
      <c r="F77" t="s">
        <v>13</v>
      </c>
      <c r="G77">
        <v>46</v>
      </c>
      <c r="H77" t="str">
        <f t="shared" si="2"/>
        <v>Over 40</v>
      </c>
      <c r="I77" t="s">
        <v>14</v>
      </c>
      <c r="J77" t="s">
        <v>26</v>
      </c>
      <c r="K77" t="s">
        <v>16</v>
      </c>
      <c r="L77" s="2">
        <v>1200</v>
      </c>
      <c r="M77" t="s">
        <v>17</v>
      </c>
      <c r="N77" s="2">
        <v>700</v>
      </c>
      <c r="O77" s="2">
        <f t="shared" si="3"/>
        <v>1900</v>
      </c>
    </row>
    <row r="78" spans="1:15" x14ac:dyDescent="0.35">
      <c r="A78">
        <v>77</v>
      </c>
      <c r="B78" t="e" vm="34">
        <v>#VALUE!</v>
      </c>
      <c r="C78" s="1">
        <v>45170</v>
      </c>
      <c r="D78" s="1">
        <v>45179</v>
      </c>
      <c r="E78">
        <v>9</v>
      </c>
      <c r="F78" t="s">
        <v>124</v>
      </c>
      <c r="G78">
        <v>31</v>
      </c>
      <c r="H78" t="str">
        <f t="shared" si="2"/>
        <v>30-40</v>
      </c>
      <c r="I78" t="s">
        <v>14</v>
      </c>
      <c r="J78" t="s">
        <v>125</v>
      </c>
      <c r="K78" t="s">
        <v>126</v>
      </c>
      <c r="L78" s="2">
        <v>400</v>
      </c>
      <c r="M78" t="s">
        <v>127</v>
      </c>
      <c r="N78" s="2">
        <v>300</v>
      </c>
      <c r="O78" s="2">
        <f t="shared" si="3"/>
        <v>700</v>
      </c>
    </row>
    <row r="79" spans="1:15" x14ac:dyDescent="0.35">
      <c r="A79">
        <v>78</v>
      </c>
      <c r="B79" t="e" vm="3">
        <v>#VALUE!</v>
      </c>
      <c r="C79" s="1">
        <v>45242</v>
      </c>
      <c r="D79" s="1">
        <v>45249</v>
      </c>
      <c r="E79">
        <v>7</v>
      </c>
      <c r="F79" t="s">
        <v>128</v>
      </c>
      <c r="G79">
        <v>25</v>
      </c>
      <c r="H79" t="str">
        <f t="shared" si="2"/>
        <v>Under 30</v>
      </c>
      <c r="I79" t="s">
        <v>19</v>
      </c>
      <c r="J79" t="s">
        <v>129</v>
      </c>
      <c r="K79" t="s">
        <v>21</v>
      </c>
      <c r="L79" s="2">
        <v>600</v>
      </c>
      <c r="M79" t="s">
        <v>17</v>
      </c>
      <c r="N79" s="2">
        <v>700</v>
      </c>
      <c r="O79" s="2">
        <f t="shared" si="3"/>
        <v>1300</v>
      </c>
    </row>
    <row r="80" spans="1:15" x14ac:dyDescent="0.35">
      <c r="A80">
        <v>79</v>
      </c>
      <c r="B80" t="e" vm="7">
        <v>#VALUE!</v>
      </c>
      <c r="C80" s="1">
        <v>45327</v>
      </c>
      <c r="D80" s="1">
        <v>45334</v>
      </c>
      <c r="E80">
        <v>7</v>
      </c>
      <c r="F80" t="s">
        <v>22</v>
      </c>
      <c r="G80">
        <v>38</v>
      </c>
      <c r="H80" t="str">
        <f t="shared" si="2"/>
        <v>30-40</v>
      </c>
      <c r="I80" t="s">
        <v>14</v>
      </c>
      <c r="J80" t="s">
        <v>33</v>
      </c>
      <c r="K80" t="s">
        <v>16</v>
      </c>
      <c r="L80" s="2">
        <v>900</v>
      </c>
      <c r="M80" t="s">
        <v>17</v>
      </c>
      <c r="N80" s="2">
        <v>600</v>
      </c>
      <c r="O80" s="2">
        <f t="shared" si="3"/>
        <v>1500</v>
      </c>
    </row>
    <row r="81" spans="1:15" x14ac:dyDescent="0.35">
      <c r="A81">
        <v>80</v>
      </c>
      <c r="B81" t="e" vm="18">
        <v>#VALUE!</v>
      </c>
      <c r="C81" s="1">
        <v>45427</v>
      </c>
      <c r="D81" s="1">
        <v>45434</v>
      </c>
      <c r="E81">
        <v>7</v>
      </c>
      <c r="F81" t="s">
        <v>130</v>
      </c>
      <c r="G81">
        <v>27</v>
      </c>
      <c r="H81" t="str">
        <f t="shared" si="2"/>
        <v>Under 30</v>
      </c>
      <c r="I81" t="s">
        <v>19</v>
      </c>
      <c r="J81" t="s">
        <v>23</v>
      </c>
      <c r="K81" t="s">
        <v>16</v>
      </c>
      <c r="L81" s="2">
        <v>400</v>
      </c>
      <c r="M81" t="s">
        <v>17</v>
      </c>
      <c r="N81" s="2">
        <v>400</v>
      </c>
      <c r="O81" s="2">
        <f t="shared" si="3"/>
        <v>800</v>
      </c>
    </row>
    <row r="82" spans="1:15" x14ac:dyDescent="0.35">
      <c r="A82">
        <v>81</v>
      </c>
      <c r="B82" t="e" vm="4">
        <v>#VALUE!</v>
      </c>
      <c r="C82" s="1">
        <v>45524</v>
      </c>
      <c r="D82" s="1">
        <v>45531</v>
      </c>
      <c r="E82">
        <v>7</v>
      </c>
      <c r="F82" t="s">
        <v>131</v>
      </c>
      <c r="G82">
        <v>60</v>
      </c>
      <c r="H82" t="str">
        <f t="shared" si="2"/>
        <v>Over 40</v>
      </c>
      <c r="I82" t="s">
        <v>14</v>
      </c>
      <c r="J82" t="s">
        <v>15</v>
      </c>
      <c r="K82" t="s">
        <v>16</v>
      </c>
      <c r="L82" s="2">
        <v>1500</v>
      </c>
      <c r="M82" t="s">
        <v>17</v>
      </c>
      <c r="N82" s="2">
        <v>1000</v>
      </c>
      <c r="O82" s="2">
        <f t="shared" si="3"/>
        <v>2500</v>
      </c>
    </row>
    <row r="83" spans="1:15" x14ac:dyDescent="0.35">
      <c r="A83">
        <v>82</v>
      </c>
      <c r="B83" t="e" vm="2">
        <v>#VALUE!</v>
      </c>
      <c r="C83" s="1">
        <v>45658</v>
      </c>
      <c r="D83" s="1">
        <v>45665</v>
      </c>
      <c r="E83">
        <v>7</v>
      </c>
      <c r="F83" t="s">
        <v>132</v>
      </c>
      <c r="G83">
        <v>32</v>
      </c>
      <c r="H83" t="str">
        <f t="shared" si="2"/>
        <v>30-40</v>
      </c>
      <c r="I83" t="s">
        <v>19</v>
      </c>
      <c r="J83" t="s">
        <v>26</v>
      </c>
      <c r="K83" t="s">
        <v>21</v>
      </c>
      <c r="L83" s="2">
        <v>700</v>
      </c>
      <c r="M83" t="s">
        <v>17</v>
      </c>
      <c r="N83" s="2">
        <v>800</v>
      </c>
      <c r="O83" s="2">
        <f t="shared" si="3"/>
        <v>1500</v>
      </c>
    </row>
    <row r="84" spans="1:15" x14ac:dyDescent="0.35">
      <c r="A84">
        <v>83</v>
      </c>
      <c r="B84" t="e" vm="17">
        <v>#VALUE!</v>
      </c>
      <c r="C84" s="1">
        <v>45762</v>
      </c>
      <c r="D84" s="1">
        <v>45769</v>
      </c>
      <c r="E84">
        <v>7</v>
      </c>
      <c r="F84" t="s">
        <v>133</v>
      </c>
      <c r="G84">
        <v>41</v>
      </c>
      <c r="H84" t="str">
        <f t="shared" si="2"/>
        <v>Over 40</v>
      </c>
      <c r="I84" t="s">
        <v>14</v>
      </c>
      <c r="J84" t="s">
        <v>15</v>
      </c>
      <c r="K84" t="s">
        <v>16</v>
      </c>
      <c r="L84" s="2">
        <v>100</v>
      </c>
      <c r="M84" t="s">
        <v>183</v>
      </c>
      <c r="N84" s="2" t="s">
        <v>183</v>
      </c>
      <c r="O84" s="2">
        <f t="shared" si="3"/>
        <v>100</v>
      </c>
    </row>
    <row r="85" spans="1:15" x14ac:dyDescent="0.35">
      <c r="A85">
        <v>84</v>
      </c>
      <c r="B85" t="e" vm="6">
        <v>#VALUE!</v>
      </c>
      <c r="C85" s="1">
        <v>44362</v>
      </c>
      <c r="D85" s="1">
        <v>44367</v>
      </c>
      <c r="E85">
        <v>6</v>
      </c>
      <c r="F85" t="s">
        <v>13</v>
      </c>
      <c r="G85">
        <v>35</v>
      </c>
      <c r="H85" t="str">
        <f t="shared" si="2"/>
        <v>30-40</v>
      </c>
      <c r="I85" t="s">
        <v>14</v>
      </c>
      <c r="J85" t="s">
        <v>15</v>
      </c>
      <c r="K85" t="s">
        <v>16</v>
      </c>
      <c r="L85" s="2">
        <v>800</v>
      </c>
      <c r="M85" t="s">
        <v>17</v>
      </c>
      <c r="N85" s="2">
        <v>500</v>
      </c>
      <c r="O85" s="2">
        <f t="shared" si="3"/>
        <v>1300</v>
      </c>
    </row>
    <row r="86" spans="1:15" x14ac:dyDescent="0.35">
      <c r="A86">
        <v>85</v>
      </c>
      <c r="B86" t="e" vm="5">
        <v>#VALUE!</v>
      </c>
      <c r="C86" s="1">
        <v>44378</v>
      </c>
      <c r="D86" s="1">
        <v>44387</v>
      </c>
      <c r="E86">
        <v>10</v>
      </c>
      <c r="F86" t="s">
        <v>121</v>
      </c>
      <c r="G86">
        <v>28</v>
      </c>
      <c r="H86" t="str">
        <f t="shared" si="2"/>
        <v>Under 30</v>
      </c>
      <c r="I86" t="s">
        <v>19</v>
      </c>
      <c r="J86" t="s">
        <v>23</v>
      </c>
      <c r="K86" t="s">
        <v>29</v>
      </c>
      <c r="L86" s="2">
        <v>500</v>
      </c>
      <c r="M86" t="s">
        <v>30</v>
      </c>
      <c r="N86" s="2">
        <v>300</v>
      </c>
      <c r="O86" s="2">
        <f t="shared" si="3"/>
        <v>800</v>
      </c>
    </row>
    <row r="87" spans="1:15" x14ac:dyDescent="0.35">
      <c r="A87">
        <v>86</v>
      </c>
      <c r="B87" t="e" vm="3">
        <v>#VALUE!</v>
      </c>
      <c r="C87" s="1">
        <v>44418</v>
      </c>
      <c r="D87" s="1">
        <v>44428</v>
      </c>
      <c r="E87">
        <v>11</v>
      </c>
      <c r="F87" t="s">
        <v>71</v>
      </c>
      <c r="G87">
        <v>42</v>
      </c>
      <c r="H87" t="str">
        <f t="shared" si="2"/>
        <v>Over 40</v>
      </c>
      <c r="I87" t="s">
        <v>19</v>
      </c>
      <c r="J87" t="s">
        <v>44</v>
      </c>
      <c r="K87" t="s">
        <v>21</v>
      </c>
      <c r="L87" s="2">
        <v>1200</v>
      </c>
      <c r="M87" t="s">
        <v>17</v>
      </c>
      <c r="N87" s="2">
        <v>700</v>
      </c>
      <c r="O87" s="2">
        <f t="shared" si="3"/>
        <v>1900</v>
      </c>
    </row>
    <row r="88" spans="1:15" x14ac:dyDescent="0.35">
      <c r="A88">
        <v>87</v>
      </c>
      <c r="B88" t="e" vm="7">
        <v>#VALUE!</v>
      </c>
      <c r="C88" s="1">
        <v>44440</v>
      </c>
      <c r="D88" s="1">
        <v>44449</v>
      </c>
      <c r="E88">
        <v>9</v>
      </c>
      <c r="F88" t="s">
        <v>22</v>
      </c>
      <c r="G88">
        <v>45</v>
      </c>
      <c r="H88" t="str">
        <f t="shared" si="2"/>
        <v>Over 40</v>
      </c>
      <c r="I88" t="s">
        <v>14</v>
      </c>
      <c r="J88" t="s">
        <v>33</v>
      </c>
      <c r="K88" t="s">
        <v>16</v>
      </c>
      <c r="L88" s="2">
        <v>900</v>
      </c>
      <c r="M88" t="s">
        <v>17</v>
      </c>
      <c r="N88" s="2">
        <v>600</v>
      </c>
      <c r="O88" s="2">
        <f t="shared" si="3"/>
        <v>1500</v>
      </c>
    </row>
    <row r="89" spans="1:15" x14ac:dyDescent="0.35">
      <c r="A89">
        <v>88</v>
      </c>
      <c r="B89" t="e" vm="4">
        <v>#VALUE!</v>
      </c>
      <c r="C89" s="1">
        <v>44484</v>
      </c>
      <c r="D89" s="1">
        <v>44489</v>
      </c>
      <c r="E89">
        <v>6</v>
      </c>
      <c r="F89" t="s">
        <v>32</v>
      </c>
      <c r="G89">
        <v>31</v>
      </c>
      <c r="H89" t="str">
        <f t="shared" si="2"/>
        <v>30-40</v>
      </c>
      <c r="I89" t="s">
        <v>19</v>
      </c>
      <c r="J89" t="s">
        <v>15</v>
      </c>
      <c r="K89" t="s">
        <v>29</v>
      </c>
      <c r="L89" s="2">
        <v>700</v>
      </c>
      <c r="M89" t="s">
        <v>127</v>
      </c>
      <c r="N89" s="2">
        <v>200</v>
      </c>
      <c r="O89" s="2">
        <f t="shared" si="3"/>
        <v>900</v>
      </c>
    </row>
    <row r="90" spans="1:15" x14ac:dyDescent="0.35">
      <c r="A90">
        <v>89</v>
      </c>
      <c r="B90" t="e" vm="1">
        <v>#VALUE!</v>
      </c>
      <c r="C90" s="1">
        <v>44520</v>
      </c>
      <c r="D90" s="1">
        <v>44530</v>
      </c>
      <c r="E90">
        <v>11</v>
      </c>
      <c r="F90" t="s">
        <v>64</v>
      </c>
      <c r="G90">
        <v>29</v>
      </c>
      <c r="H90" t="str">
        <f t="shared" si="2"/>
        <v>Under 30</v>
      </c>
      <c r="I90" t="s">
        <v>14</v>
      </c>
      <c r="J90" t="s">
        <v>26</v>
      </c>
      <c r="K90" t="s">
        <v>34</v>
      </c>
      <c r="L90" s="2">
        <v>300</v>
      </c>
      <c r="M90" t="s">
        <v>17</v>
      </c>
      <c r="N90" s="2">
        <v>400</v>
      </c>
      <c r="O90" s="2">
        <f t="shared" si="3"/>
        <v>700</v>
      </c>
    </row>
    <row r="91" spans="1:15" x14ac:dyDescent="0.35">
      <c r="A91">
        <v>90</v>
      </c>
      <c r="B91" t="e" vm="10">
        <v>#VALUE!</v>
      </c>
      <c r="C91" s="1">
        <v>44562</v>
      </c>
      <c r="D91" s="1">
        <v>44569</v>
      </c>
      <c r="E91">
        <v>8</v>
      </c>
      <c r="F91" t="s">
        <v>134</v>
      </c>
      <c r="G91">
        <v>24</v>
      </c>
      <c r="H91" t="str">
        <f t="shared" si="2"/>
        <v>Under 30</v>
      </c>
      <c r="I91" t="s">
        <v>19</v>
      </c>
      <c r="J91" t="s">
        <v>40</v>
      </c>
      <c r="K91" t="s">
        <v>16</v>
      </c>
      <c r="L91" s="2">
        <v>1000</v>
      </c>
      <c r="M91" t="s">
        <v>17</v>
      </c>
      <c r="N91" s="2">
        <v>800</v>
      </c>
      <c r="O91" s="2">
        <f t="shared" si="3"/>
        <v>1800</v>
      </c>
    </row>
    <row r="92" spans="1:15" x14ac:dyDescent="0.35">
      <c r="A92">
        <v>91</v>
      </c>
      <c r="B92" t="e" vm="18">
        <v>#VALUE!</v>
      </c>
      <c r="C92" s="1">
        <v>44606</v>
      </c>
      <c r="D92" s="1">
        <v>44612</v>
      </c>
      <c r="E92">
        <v>7</v>
      </c>
      <c r="F92" t="s">
        <v>135</v>
      </c>
      <c r="G92">
        <v>26</v>
      </c>
      <c r="H92" t="str">
        <f t="shared" si="2"/>
        <v>Under 30</v>
      </c>
      <c r="I92" t="s">
        <v>14</v>
      </c>
      <c r="J92" t="s">
        <v>28</v>
      </c>
      <c r="K92" t="s">
        <v>29</v>
      </c>
      <c r="L92" s="2">
        <v>400</v>
      </c>
      <c r="M92" t="s">
        <v>30</v>
      </c>
      <c r="N92" s="2">
        <v>100</v>
      </c>
      <c r="O92" s="2">
        <f t="shared" si="3"/>
        <v>500</v>
      </c>
    </row>
    <row r="93" spans="1:15" x14ac:dyDescent="0.35">
      <c r="A93">
        <v>92</v>
      </c>
      <c r="B93" t="e" vm="17">
        <v>#VALUE!</v>
      </c>
      <c r="C93" s="1">
        <v>44630</v>
      </c>
      <c r="D93" s="1">
        <v>44640</v>
      </c>
      <c r="E93">
        <v>11</v>
      </c>
      <c r="F93" t="s">
        <v>136</v>
      </c>
      <c r="G93">
        <v>30</v>
      </c>
      <c r="H93" t="str">
        <f t="shared" si="2"/>
        <v>30-40</v>
      </c>
      <c r="I93" t="s">
        <v>19</v>
      </c>
      <c r="J93" t="s">
        <v>66</v>
      </c>
      <c r="K93" t="s">
        <v>34</v>
      </c>
      <c r="L93" s="2">
        <v>200</v>
      </c>
      <c r="M93" t="s">
        <v>17</v>
      </c>
      <c r="N93" s="2">
        <v>350</v>
      </c>
      <c r="O93" s="2">
        <f t="shared" si="3"/>
        <v>550</v>
      </c>
    </row>
    <row r="94" spans="1:15" x14ac:dyDescent="0.35">
      <c r="A94">
        <v>93</v>
      </c>
      <c r="B94" t="e" vm="3">
        <v>#VALUE!</v>
      </c>
      <c r="C94" s="1">
        <v>44666</v>
      </c>
      <c r="D94" s="1">
        <v>44676</v>
      </c>
      <c r="E94">
        <v>11</v>
      </c>
      <c r="F94" t="s">
        <v>137</v>
      </c>
      <c r="G94">
        <v>33</v>
      </c>
      <c r="H94" t="str">
        <f t="shared" si="2"/>
        <v>30-40</v>
      </c>
      <c r="I94" t="s">
        <v>14</v>
      </c>
      <c r="J94" t="s">
        <v>138</v>
      </c>
      <c r="K94" t="s">
        <v>24</v>
      </c>
      <c r="L94" s="2">
        <v>1500</v>
      </c>
      <c r="M94" t="s">
        <v>127</v>
      </c>
      <c r="N94" s="2">
        <v>300</v>
      </c>
      <c r="O94" s="2">
        <f t="shared" si="3"/>
        <v>1800</v>
      </c>
    </row>
    <row r="95" spans="1:15" x14ac:dyDescent="0.35">
      <c r="A95">
        <v>94</v>
      </c>
      <c r="B95" t="e" vm="32">
        <v>#VALUE!</v>
      </c>
      <c r="C95" s="1">
        <v>44682</v>
      </c>
      <c r="D95" s="1">
        <v>44691</v>
      </c>
      <c r="E95">
        <v>10</v>
      </c>
      <c r="F95" t="s">
        <v>139</v>
      </c>
      <c r="G95">
        <v>27</v>
      </c>
      <c r="H95" t="str">
        <f t="shared" si="2"/>
        <v>Under 30</v>
      </c>
      <c r="I95" t="s">
        <v>19</v>
      </c>
      <c r="J95" t="s">
        <v>23</v>
      </c>
      <c r="K95" t="s">
        <v>16</v>
      </c>
      <c r="L95" s="2">
        <v>800</v>
      </c>
      <c r="M95" t="s">
        <v>30</v>
      </c>
      <c r="N95" s="2">
        <v>150</v>
      </c>
      <c r="O95" s="2">
        <f t="shared" si="3"/>
        <v>950</v>
      </c>
    </row>
    <row r="96" spans="1:15" x14ac:dyDescent="0.35">
      <c r="A96">
        <v>95</v>
      </c>
      <c r="B96" t="e" vm="6">
        <v>#VALUE!</v>
      </c>
      <c r="C96" s="1">
        <v>44727</v>
      </c>
      <c r="D96" s="1">
        <v>44732</v>
      </c>
      <c r="E96">
        <v>5</v>
      </c>
      <c r="F96" t="s">
        <v>13</v>
      </c>
      <c r="G96">
        <v>35</v>
      </c>
      <c r="H96" t="str">
        <f t="shared" si="2"/>
        <v>30-40</v>
      </c>
      <c r="I96" t="s">
        <v>14</v>
      </c>
      <c r="J96" t="s">
        <v>140</v>
      </c>
      <c r="K96" t="s">
        <v>16</v>
      </c>
      <c r="L96" s="2">
        <v>500</v>
      </c>
      <c r="M96" t="s">
        <v>17</v>
      </c>
      <c r="N96" s="2">
        <v>800</v>
      </c>
      <c r="O96" s="2">
        <f t="shared" si="3"/>
        <v>1300</v>
      </c>
    </row>
    <row r="97" spans="1:15" x14ac:dyDescent="0.35">
      <c r="A97">
        <v>96</v>
      </c>
      <c r="B97" t="e" vm="5">
        <v>#VALUE!</v>
      </c>
      <c r="C97" s="1">
        <v>44805</v>
      </c>
      <c r="D97" s="1">
        <v>44814</v>
      </c>
      <c r="E97">
        <v>9</v>
      </c>
      <c r="F97" t="s">
        <v>141</v>
      </c>
      <c r="G97">
        <v>28</v>
      </c>
      <c r="H97" t="str">
        <f t="shared" si="2"/>
        <v>Under 30</v>
      </c>
      <c r="I97" t="s">
        <v>19</v>
      </c>
      <c r="J97" t="s">
        <v>87</v>
      </c>
      <c r="K97" t="s">
        <v>29</v>
      </c>
      <c r="L97" s="2">
        <v>400</v>
      </c>
      <c r="M97" t="s">
        <v>30</v>
      </c>
      <c r="N97" s="2">
        <v>200</v>
      </c>
      <c r="O97" s="2">
        <f t="shared" si="3"/>
        <v>600</v>
      </c>
    </row>
    <row r="98" spans="1:15" x14ac:dyDescent="0.35">
      <c r="A98">
        <v>97</v>
      </c>
      <c r="B98" t="e" vm="7">
        <v>#VALUE!</v>
      </c>
      <c r="C98" s="1">
        <v>44888</v>
      </c>
      <c r="D98" s="1">
        <v>44897</v>
      </c>
      <c r="E98">
        <v>9</v>
      </c>
      <c r="F98" t="s">
        <v>22</v>
      </c>
      <c r="G98">
        <v>45</v>
      </c>
      <c r="H98" t="str">
        <f t="shared" si="2"/>
        <v>Over 40</v>
      </c>
      <c r="I98" t="s">
        <v>14</v>
      </c>
      <c r="J98" t="s">
        <v>142</v>
      </c>
      <c r="K98" t="s">
        <v>34</v>
      </c>
      <c r="L98" s="2">
        <v>200</v>
      </c>
      <c r="M98" t="s">
        <v>17</v>
      </c>
      <c r="N98" s="2">
        <v>1200</v>
      </c>
      <c r="O98" s="2">
        <f t="shared" si="3"/>
        <v>1400</v>
      </c>
    </row>
    <row r="99" spans="1:15" x14ac:dyDescent="0.35">
      <c r="A99">
        <v>98</v>
      </c>
      <c r="B99" t="e" vm="1">
        <v>#VALUE!</v>
      </c>
      <c r="C99" s="1">
        <v>44971</v>
      </c>
      <c r="D99" s="1">
        <v>44976</v>
      </c>
      <c r="E99">
        <v>5</v>
      </c>
      <c r="F99" t="s">
        <v>120</v>
      </c>
      <c r="G99">
        <v>37</v>
      </c>
      <c r="H99" t="str">
        <f t="shared" si="2"/>
        <v>30-40</v>
      </c>
      <c r="I99" t="s">
        <v>19</v>
      </c>
      <c r="J99" t="s">
        <v>143</v>
      </c>
      <c r="K99" t="s">
        <v>16</v>
      </c>
      <c r="L99" s="2">
        <v>600</v>
      </c>
      <c r="M99" t="s">
        <v>17</v>
      </c>
      <c r="N99" s="2">
        <v>700</v>
      </c>
      <c r="O99" s="2">
        <f t="shared" si="3"/>
        <v>1300</v>
      </c>
    </row>
    <row r="100" spans="1:15" x14ac:dyDescent="0.35">
      <c r="A100">
        <v>99</v>
      </c>
      <c r="B100" t="e" vm="4">
        <v>#VALUE!</v>
      </c>
      <c r="C100" s="1">
        <v>45054</v>
      </c>
      <c r="D100" s="1">
        <v>45060</v>
      </c>
      <c r="E100">
        <v>6</v>
      </c>
      <c r="F100" t="s">
        <v>144</v>
      </c>
      <c r="G100">
        <v>50</v>
      </c>
      <c r="H100" t="str">
        <f t="shared" si="2"/>
        <v>Over 40</v>
      </c>
      <c r="I100" t="s">
        <v>14</v>
      </c>
      <c r="J100" t="s">
        <v>145</v>
      </c>
      <c r="K100" t="s">
        <v>29</v>
      </c>
      <c r="L100" s="2">
        <v>800</v>
      </c>
      <c r="M100" t="s">
        <v>127</v>
      </c>
      <c r="N100" s="2">
        <v>300</v>
      </c>
      <c r="O100" s="2">
        <f t="shared" si="3"/>
        <v>1100</v>
      </c>
    </row>
    <row r="101" spans="1:15" x14ac:dyDescent="0.35">
      <c r="A101">
        <v>100</v>
      </c>
      <c r="B101" t="e" vm="17">
        <v>#VALUE!</v>
      </c>
      <c r="C101" s="1">
        <v>45158</v>
      </c>
      <c r="D101" s="1">
        <v>45165</v>
      </c>
      <c r="E101">
        <v>7</v>
      </c>
      <c r="F101" t="s">
        <v>146</v>
      </c>
      <c r="G101">
        <v>31</v>
      </c>
      <c r="H101" t="str">
        <f t="shared" si="2"/>
        <v>30-40</v>
      </c>
      <c r="I101" t="s">
        <v>19</v>
      </c>
      <c r="J101" t="s">
        <v>147</v>
      </c>
      <c r="K101" t="s">
        <v>16</v>
      </c>
      <c r="L101" s="2">
        <v>700</v>
      </c>
      <c r="M101" t="s">
        <v>17</v>
      </c>
      <c r="N101" s="2">
        <v>900</v>
      </c>
      <c r="O101" s="2">
        <f t="shared" si="3"/>
        <v>1600</v>
      </c>
    </row>
    <row r="102" spans="1:15" x14ac:dyDescent="0.35">
      <c r="A102">
        <v>101</v>
      </c>
      <c r="B102" t="e" vm="18">
        <v>#VALUE!</v>
      </c>
      <c r="C102" s="1">
        <v>45242</v>
      </c>
      <c r="D102" s="1">
        <v>45250</v>
      </c>
      <c r="E102">
        <v>8</v>
      </c>
      <c r="F102" t="s">
        <v>148</v>
      </c>
      <c r="G102">
        <v>42</v>
      </c>
      <c r="H102" t="str">
        <f t="shared" si="2"/>
        <v>Over 40</v>
      </c>
      <c r="I102" t="s">
        <v>14</v>
      </c>
      <c r="J102" t="s">
        <v>72</v>
      </c>
      <c r="K102" t="s">
        <v>34</v>
      </c>
      <c r="L102" s="2">
        <v>300</v>
      </c>
      <c r="M102" t="s">
        <v>30</v>
      </c>
      <c r="N102" s="2">
        <v>100</v>
      </c>
      <c r="O102" s="2">
        <f t="shared" si="3"/>
        <v>400</v>
      </c>
    </row>
    <row r="103" spans="1:15" x14ac:dyDescent="0.35">
      <c r="A103">
        <v>102</v>
      </c>
      <c r="B103" t="e" vm="34">
        <v>#VALUE!</v>
      </c>
      <c r="C103" s="1">
        <v>45297</v>
      </c>
      <c r="D103" s="1">
        <v>45305</v>
      </c>
      <c r="E103">
        <v>8</v>
      </c>
      <c r="F103" t="s">
        <v>71</v>
      </c>
      <c r="G103">
        <v>27</v>
      </c>
      <c r="H103" t="str">
        <f t="shared" si="2"/>
        <v>Under 30</v>
      </c>
      <c r="I103" t="s">
        <v>19</v>
      </c>
      <c r="J103" t="s">
        <v>85</v>
      </c>
      <c r="K103" t="s">
        <v>29</v>
      </c>
      <c r="L103" s="2">
        <v>500</v>
      </c>
      <c r="M103" t="s">
        <v>17</v>
      </c>
      <c r="N103" s="2">
        <v>1500</v>
      </c>
      <c r="O103" s="2">
        <f t="shared" si="3"/>
        <v>2000</v>
      </c>
    </row>
    <row r="104" spans="1:15" x14ac:dyDescent="0.35">
      <c r="A104">
        <v>103</v>
      </c>
      <c r="B104" t="e" vm="8">
        <v>#VALUE!</v>
      </c>
      <c r="C104" s="1">
        <v>45385</v>
      </c>
      <c r="D104" s="1">
        <v>45392</v>
      </c>
      <c r="E104">
        <v>7</v>
      </c>
      <c r="F104" t="s">
        <v>149</v>
      </c>
      <c r="G104">
        <v>33</v>
      </c>
      <c r="H104" t="str">
        <f t="shared" si="2"/>
        <v>30-40</v>
      </c>
      <c r="I104" t="s">
        <v>14</v>
      </c>
      <c r="J104" t="s">
        <v>77</v>
      </c>
      <c r="K104" t="s">
        <v>16</v>
      </c>
      <c r="L104" s="2">
        <v>900</v>
      </c>
      <c r="M104" t="s">
        <v>127</v>
      </c>
      <c r="N104" s="2">
        <v>400</v>
      </c>
      <c r="O104" s="2">
        <f t="shared" si="3"/>
        <v>1300</v>
      </c>
    </row>
    <row r="105" spans="1:15" x14ac:dyDescent="0.35">
      <c r="A105">
        <v>104</v>
      </c>
      <c r="B105" t="e" vm="3">
        <v>#VALUE!</v>
      </c>
      <c r="C105" s="1">
        <v>45495</v>
      </c>
      <c r="D105" s="1">
        <v>45501</v>
      </c>
      <c r="E105">
        <v>6</v>
      </c>
      <c r="F105" t="s">
        <v>150</v>
      </c>
      <c r="G105">
        <v>29</v>
      </c>
      <c r="H105" t="str">
        <f t="shared" si="2"/>
        <v>Under 30</v>
      </c>
      <c r="I105" t="s">
        <v>19</v>
      </c>
      <c r="J105" t="s">
        <v>142</v>
      </c>
      <c r="K105" t="s">
        <v>24</v>
      </c>
      <c r="L105" s="2">
        <v>1200</v>
      </c>
      <c r="M105" t="s">
        <v>17</v>
      </c>
      <c r="N105" s="2">
        <v>1000</v>
      </c>
      <c r="O105" s="2">
        <f t="shared" si="3"/>
        <v>2200</v>
      </c>
    </row>
    <row r="106" spans="1:15" x14ac:dyDescent="0.35">
      <c r="A106">
        <v>105</v>
      </c>
      <c r="B106" t="e" vm="9">
        <v>#VALUE!</v>
      </c>
      <c r="C106" s="1">
        <v>45575</v>
      </c>
      <c r="D106" s="1">
        <v>45582</v>
      </c>
      <c r="E106">
        <v>7</v>
      </c>
      <c r="F106" t="s">
        <v>151</v>
      </c>
      <c r="G106">
        <v>41</v>
      </c>
      <c r="H106" t="str">
        <f t="shared" si="2"/>
        <v>Over 40</v>
      </c>
      <c r="I106" t="s">
        <v>14</v>
      </c>
      <c r="J106" t="s">
        <v>152</v>
      </c>
      <c r="K106" t="s">
        <v>16</v>
      </c>
      <c r="L106" s="2">
        <v>600</v>
      </c>
      <c r="M106" t="s">
        <v>30</v>
      </c>
      <c r="N106" s="2">
        <v>150</v>
      </c>
      <c r="O106" s="2">
        <f t="shared" si="3"/>
        <v>750</v>
      </c>
    </row>
    <row r="107" spans="1:15" x14ac:dyDescent="0.35">
      <c r="A107">
        <v>106</v>
      </c>
      <c r="B107" t="e" vm="6">
        <v>#VALUE!</v>
      </c>
      <c r="C107" s="1">
        <v>44696</v>
      </c>
      <c r="D107" s="1">
        <v>44701</v>
      </c>
      <c r="E107">
        <v>5</v>
      </c>
      <c r="F107" t="s">
        <v>13</v>
      </c>
      <c r="G107">
        <v>35</v>
      </c>
      <c r="H107" t="str">
        <f t="shared" si="2"/>
        <v>30-40</v>
      </c>
      <c r="I107" t="s">
        <v>14</v>
      </c>
      <c r="J107" t="s">
        <v>140</v>
      </c>
      <c r="K107" t="s">
        <v>16</v>
      </c>
      <c r="L107" s="2">
        <v>1000</v>
      </c>
      <c r="M107" t="s">
        <v>17</v>
      </c>
      <c r="N107" s="2">
        <v>800</v>
      </c>
      <c r="O107" s="2">
        <f t="shared" si="3"/>
        <v>1800</v>
      </c>
    </row>
    <row r="108" spans="1:15" x14ac:dyDescent="0.35">
      <c r="A108">
        <v>107</v>
      </c>
      <c r="B108" t="e" vm="5">
        <v>#VALUE!</v>
      </c>
      <c r="C108" s="1">
        <v>44805</v>
      </c>
      <c r="D108" s="1">
        <v>44814</v>
      </c>
      <c r="E108">
        <v>9</v>
      </c>
      <c r="F108" t="s">
        <v>121</v>
      </c>
      <c r="G108">
        <v>28</v>
      </c>
      <c r="H108" t="str">
        <f t="shared" si="2"/>
        <v>Under 30</v>
      </c>
      <c r="I108" t="s">
        <v>19</v>
      </c>
      <c r="J108" t="s">
        <v>142</v>
      </c>
      <c r="K108" t="s">
        <v>29</v>
      </c>
      <c r="L108" s="2">
        <v>800</v>
      </c>
      <c r="M108" t="s">
        <v>30</v>
      </c>
      <c r="N108" s="2">
        <v>500</v>
      </c>
      <c r="O108" s="2">
        <f t="shared" si="3"/>
        <v>1300</v>
      </c>
    </row>
    <row r="109" spans="1:15" x14ac:dyDescent="0.35">
      <c r="A109">
        <v>108</v>
      </c>
      <c r="B109" t="e" vm="4">
        <v>#VALUE!</v>
      </c>
      <c r="C109" s="1">
        <v>44732</v>
      </c>
      <c r="D109" s="1">
        <v>44737</v>
      </c>
      <c r="E109">
        <v>5</v>
      </c>
      <c r="F109" t="s">
        <v>144</v>
      </c>
      <c r="G109">
        <v>42</v>
      </c>
      <c r="H109" t="str">
        <f t="shared" si="2"/>
        <v>Over 40</v>
      </c>
      <c r="I109" t="s">
        <v>14</v>
      </c>
      <c r="J109" t="s">
        <v>153</v>
      </c>
      <c r="K109" t="s">
        <v>16</v>
      </c>
      <c r="L109" s="2">
        <v>1200</v>
      </c>
      <c r="M109" t="s">
        <v>127</v>
      </c>
      <c r="N109" s="2">
        <v>200</v>
      </c>
      <c r="O109" s="2">
        <f t="shared" si="3"/>
        <v>1400</v>
      </c>
    </row>
    <row r="110" spans="1:15" x14ac:dyDescent="0.35">
      <c r="A110">
        <v>109</v>
      </c>
      <c r="B110" t="e" vm="3">
        <v>#VALUE!</v>
      </c>
      <c r="C110" s="1">
        <v>44785</v>
      </c>
      <c r="D110" s="1">
        <v>44793</v>
      </c>
      <c r="E110">
        <v>8</v>
      </c>
      <c r="F110" t="s">
        <v>154</v>
      </c>
      <c r="G110">
        <v>30</v>
      </c>
      <c r="H110" t="str">
        <f t="shared" si="2"/>
        <v>30-40</v>
      </c>
      <c r="I110" t="s">
        <v>19</v>
      </c>
      <c r="J110" t="s">
        <v>147</v>
      </c>
      <c r="K110" t="s">
        <v>21</v>
      </c>
      <c r="L110" s="2">
        <v>1500</v>
      </c>
      <c r="M110" t="s">
        <v>17</v>
      </c>
      <c r="N110" s="2">
        <v>1200</v>
      </c>
      <c r="O110" s="2">
        <f t="shared" si="3"/>
        <v>2700</v>
      </c>
    </row>
    <row r="111" spans="1:15" x14ac:dyDescent="0.35">
      <c r="A111">
        <v>110</v>
      </c>
      <c r="B111" t="e" vm="7">
        <v>#VALUE!</v>
      </c>
      <c r="C111" s="1">
        <v>44743</v>
      </c>
      <c r="D111" s="1">
        <v>44752</v>
      </c>
      <c r="E111">
        <v>9</v>
      </c>
      <c r="F111" t="s">
        <v>70</v>
      </c>
      <c r="G111">
        <v>26</v>
      </c>
      <c r="H111" t="str">
        <f t="shared" si="2"/>
        <v>Under 30</v>
      </c>
      <c r="I111" t="s">
        <v>14</v>
      </c>
      <c r="J111" t="s">
        <v>87</v>
      </c>
      <c r="K111" t="s">
        <v>34</v>
      </c>
      <c r="L111" s="2">
        <v>300</v>
      </c>
      <c r="M111" t="s">
        <v>17</v>
      </c>
      <c r="N111" s="2">
        <v>900</v>
      </c>
      <c r="O111" s="2">
        <f t="shared" si="3"/>
        <v>1200</v>
      </c>
    </row>
    <row r="112" spans="1:15" x14ac:dyDescent="0.35">
      <c r="A112">
        <v>111</v>
      </c>
      <c r="B112" t="e" vm="1">
        <v>#VALUE!</v>
      </c>
      <c r="C112" s="1">
        <v>44722</v>
      </c>
      <c r="D112" s="1">
        <v>44727</v>
      </c>
      <c r="E112">
        <v>5</v>
      </c>
      <c r="F112" t="s">
        <v>155</v>
      </c>
      <c r="G112">
        <v>38</v>
      </c>
      <c r="H112" t="str">
        <f t="shared" si="2"/>
        <v>30-40</v>
      </c>
      <c r="I112" t="s">
        <v>19</v>
      </c>
      <c r="J112" t="s">
        <v>156</v>
      </c>
      <c r="K112" t="s">
        <v>16</v>
      </c>
      <c r="L112" s="2">
        <v>900</v>
      </c>
      <c r="M112" t="s">
        <v>30</v>
      </c>
      <c r="N112" s="2">
        <v>150</v>
      </c>
      <c r="O112" s="2">
        <f t="shared" si="3"/>
        <v>1050</v>
      </c>
    </row>
    <row r="113" spans="1:15" x14ac:dyDescent="0.35">
      <c r="A113">
        <v>112</v>
      </c>
      <c r="B113" t="e" vm="2">
        <v>#VALUE!</v>
      </c>
      <c r="C113" s="1">
        <v>44809</v>
      </c>
      <c r="D113" s="1">
        <v>44816</v>
      </c>
      <c r="E113">
        <v>7</v>
      </c>
      <c r="F113" t="s">
        <v>157</v>
      </c>
      <c r="G113">
        <v>45</v>
      </c>
      <c r="H113" t="str">
        <f t="shared" si="2"/>
        <v>Over 40</v>
      </c>
      <c r="I113" t="s">
        <v>14</v>
      </c>
      <c r="J113" t="s">
        <v>158</v>
      </c>
      <c r="K113" t="s">
        <v>24</v>
      </c>
      <c r="L113" s="2">
        <v>2000</v>
      </c>
      <c r="M113" t="s">
        <v>17</v>
      </c>
      <c r="N113" s="2">
        <v>700</v>
      </c>
      <c r="O113" s="2">
        <f t="shared" si="3"/>
        <v>2700</v>
      </c>
    </row>
    <row r="114" spans="1:15" x14ac:dyDescent="0.35">
      <c r="A114">
        <v>113</v>
      </c>
      <c r="B114" t="e" vm="17">
        <v>#VALUE!</v>
      </c>
      <c r="C114" s="1">
        <v>44682</v>
      </c>
      <c r="D114" s="1">
        <v>44689</v>
      </c>
      <c r="E114">
        <v>7</v>
      </c>
      <c r="F114" t="s">
        <v>159</v>
      </c>
      <c r="G114">
        <v>31</v>
      </c>
      <c r="H114" t="str">
        <f t="shared" si="2"/>
        <v>30-40</v>
      </c>
      <c r="I114" t="s">
        <v>19</v>
      </c>
      <c r="J114" t="s">
        <v>83</v>
      </c>
      <c r="K114" t="s">
        <v>16</v>
      </c>
      <c r="L114" s="2">
        <v>1100</v>
      </c>
      <c r="M114" t="s">
        <v>30</v>
      </c>
      <c r="N114" s="2">
        <v>250</v>
      </c>
      <c r="O114" s="2">
        <f t="shared" si="3"/>
        <v>1350</v>
      </c>
    </row>
    <row r="115" spans="1:15" x14ac:dyDescent="0.35">
      <c r="A115">
        <v>114</v>
      </c>
      <c r="B115" t="e" vm="35">
        <v>#VALUE!</v>
      </c>
      <c r="C115" s="1">
        <v>44757</v>
      </c>
      <c r="D115" s="1">
        <v>44764</v>
      </c>
      <c r="E115">
        <v>7</v>
      </c>
      <c r="F115" t="s">
        <v>160</v>
      </c>
      <c r="G115">
        <v>27</v>
      </c>
      <c r="H115" t="str">
        <f t="shared" si="2"/>
        <v>Under 30</v>
      </c>
      <c r="I115" t="s">
        <v>14</v>
      </c>
      <c r="J115" t="s">
        <v>79</v>
      </c>
      <c r="K115" t="s">
        <v>29</v>
      </c>
      <c r="L115" s="2">
        <v>1000</v>
      </c>
      <c r="M115" t="s">
        <v>161</v>
      </c>
      <c r="N115" s="2">
        <v>150</v>
      </c>
      <c r="O115" s="2">
        <f t="shared" si="3"/>
        <v>1150</v>
      </c>
    </row>
    <row r="116" spans="1:15" x14ac:dyDescent="0.35">
      <c r="A116">
        <v>115</v>
      </c>
      <c r="B116" t="e" vm="10">
        <v>#VALUE!</v>
      </c>
      <c r="C116" s="1">
        <v>44798</v>
      </c>
      <c r="D116" s="1">
        <v>44803</v>
      </c>
      <c r="E116">
        <v>5</v>
      </c>
      <c r="F116" t="s">
        <v>162</v>
      </c>
      <c r="G116">
        <v>29</v>
      </c>
      <c r="H116" t="str">
        <f t="shared" si="2"/>
        <v>Under 30</v>
      </c>
      <c r="I116" t="s">
        <v>19</v>
      </c>
      <c r="J116" t="s">
        <v>163</v>
      </c>
      <c r="K116" t="s">
        <v>16</v>
      </c>
      <c r="L116" s="2">
        <v>1500</v>
      </c>
      <c r="M116" t="s">
        <v>127</v>
      </c>
      <c r="N116" s="2">
        <v>300</v>
      </c>
      <c r="O116" s="2">
        <f>SUM(L116,N116)</f>
        <v>1800</v>
      </c>
    </row>
    <row r="117" spans="1:15" x14ac:dyDescent="0.35">
      <c r="A117">
        <v>116</v>
      </c>
      <c r="B117" t="e" vm="36">
        <v>#VALUE!</v>
      </c>
      <c r="C117" s="1">
        <v>44814</v>
      </c>
      <c r="D117" s="1">
        <v>44819</v>
      </c>
      <c r="E117">
        <v>5</v>
      </c>
      <c r="F117" t="s">
        <v>164</v>
      </c>
      <c r="G117">
        <v>33</v>
      </c>
      <c r="H117" t="str">
        <f t="shared" si="2"/>
        <v>30-40</v>
      </c>
      <c r="I117" t="s">
        <v>14</v>
      </c>
      <c r="J117" t="s">
        <v>165</v>
      </c>
      <c r="K117" t="s">
        <v>34</v>
      </c>
      <c r="L117" s="2">
        <v>200</v>
      </c>
      <c r="M117" t="s">
        <v>17</v>
      </c>
      <c r="N117" s="2">
        <v>500</v>
      </c>
      <c r="O117" s="2">
        <f t="shared" ref="O117:O140" si="4">SUM(L117,N117)</f>
        <v>700</v>
      </c>
    </row>
    <row r="118" spans="1:15" x14ac:dyDescent="0.35">
      <c r="A118">
        <v>117</v>
      </c>
      <c r="B118" t="e" vm="5">
        <v>#VALUE!</v>
      </c>
      <c r="C118" s="1">
        <v>44597</v>
      </c>
      <c r="D118" s="1">
        <v>44606</v>
      </c>
      <c r="E118">
        <v>9</v>
      </c>
      <c r="F118" t="s">
        <v>73</v>
      </c>
      <c r="G118">
        <v>32</v>
      </c>
      <c r="H118" t="str">
        <f t="shared" si="2"/>
        <v>30-40</v>
      </c>
      <c r="I118" t="s">
        <v>19</v>
      </c>
      <c r="J118" t="s">
        <v>15</v>
      </c>
      <c r="K118" t="s">
        <v>16</v>
      </c>
      <c r="L118" s="2">
        <v>1000</v>
      </c>
      <c r="M118" t="s">
        <v>17</v>
      </c>
      <c r="N118" s="2">
        <v>700</v>
      </c>
      <c r="O118" s="2">
        <f t="shared" si="4"/>
        <v>1700</v>
      </c>
    </row>
    <row r="119" spans="1:15" x14ac:dyDescent="0.35">
      <c r="A119">
        <v>118</v>
      </c>
      <c r="B119" t="e" vm="6">
        <v>#VALUE!</v>
      </c>
      <c r="C119" s="1">
        <v>44635</v>
      </c>
      <c r="D119" s="1">
        <v>44642</v>
      </c>
      <c r="E119">
        <v>7</v>
      </c>
      <c r="F119" t="s">
        <v>74</v>
      </c>
      <c r="G119">
        <v>47</v>
      </c>
      <c r="H119" t="str">
        <f t="shared" si="2"/>
        <v>Over 40</v>
      </c>
      <c r="I119" t="s">
        <v>14</v>
      </c>
      <c r="J119" t="s">
        <v>20</v>
      </c>
      <c r="K119" t="s">
        <v>16</v>
      </c>
      <c r="L119" s="2">
        <v>1200</v>
      </c>
      <c r="M119" t="s">
        <v>30</v>
      </c>
      <c r="N119" s="2">
        <v>500</v>
      </c>
      <c r="O119" s="2">
        <f t="shared" si="4"/>
        <v>1700</v>
      </c>
    </row>
    <row r="120" spans="1:15" x14ac:dyDescent="0.35">
      <c r="A120">
        <v>119</v>
      </c>
      <c r="B120" t="e" vm="7">
        <v>#VALUE!</v>
      </c>
      <c r="C120" s="1">
        <v>44682</v>
      </c>
      <c r="D120" s="1">
        <v>44693</v>
      </c>
      <c r="E120">
        <v>11</v>
      </c>
      <c r="F120" t="s">
        <v>166</v>
      </c>
      <c r="G120">
        <v>26</v>
      </c>
      <c r="H120" t="str">
        <f t="shared" si="2"/>
        <v>Under 30</v>
      </c>
      <c r="I120" t="s">
        <v>19</v>
      </c>
      <c r="J120" t="s">
        <v>46</v>
      </c>
      <c r="K120" t="s">
        <v>29</v>
      </c>
      <c r="L120" s="2">
        <v>800</v>
      </c>
      <c r="M120" t="s">
        <v>17</v>
      </c>
      <c r="N120" s="2">
        <v>1000</v>
      </c>
      <c r="O120" s="2">
        <f t="shared" si="4"/>
        <v>1800</v>
      </c>
    </row>
    <row r="121" spans="1:15" x14ac:dyDescent="0.35">
      <c r="A121">
        <v>120</v>
      </c>
      <c r="B121" t="e" vm="17">
        <v>#VALUE!</v>
      </c>
      <c r="C121" s="1">
        <v>44722</v>
      </c>
      <c r="D121" s="1">
        <v>44729</v>
      </c>
      <c r="E121">
        <v>7</v>
      </c>
      <c r="F121" t="s">
        <v>22</v>
      </c>
      <c r="G121">
        <v>38</v>
      </c>
      <c r="H121" t="str">
        <f t="shared" si="2"/>
        <v>30-40</v>
      </c>
      <c r="I121" t="s">
        <v>14</v>
      </c>
      <c r="J121" t="s">
        <v>23</v>
      </c>
      <c r="K121" t="s">
        <v>16</v>
      </c>
      <c r="L121" s="2">
        <v>900</v>
      </c>
      <c r="M121" t="s">
        <v>30</v>
      </c>
      <c r="N121" s="2">
        <v>400</v>
      </c>
      <c r="O121" s="2">
        <f t="shared" si="4"/>
        <v>1300</v>
      </c>
    </row>
    <row r="122" spans="1:15" x14ac:dyDescent="0.35">
      <c r="A122">
        <v>121</v>
      </c>
      <c r="B122" t="e" vm="3">
        <v>#VALUE!</v>
      </c>
      <c r="C122" s="1">
        <v>44762</v>
      </c>
      <c r="D122" s="1">
        <v>44772</v>
      </c>
      <c r="E122">
        <v>10</v>
      </c>
      <c r="F122" t="s">
        <v>167</v>
      </c>
      <c r="G122">
        <v>29</v>
      </c>
      <c r="H122" t="str">
        <f t="shared" si="2"/>
        <v>Under 30</v>
      </c>
      <c r="I122" t="s">
        <v>19</v>
      </c>
      <c r="J122" t="s">
        <v>23</v>
      </c>
      <c r="K122" t="s">
        <v>34</v>
      </c>
      <c r="L122" s="2">
        <v>500</v>
      </c>
      <c r="M122" t="s">
        <v>17</v>
      </c>
      <c r="N122" s="2">
        <v>800</v>
      </c>
      <c r="O122" s="2">
        <f t="shared" si="4"/>
        <v>1300</v>
      </c>
    </row>
    <row r="123" spans="1:15" x14ac:dyDescent="0.35">
      <c r="A123">
        <v>122</v>
      </c>
      <c r="B123" t="e" vm="11">
        <v>#VALUE!</v>
      </c>
      <c r="C123" s="1">
        <v>44781</v>
      </c>
      <c r="D123" s="1">
        <v>44789</v>
      </c>
      <c r="E123">
        <v>8</v>
      </c>
      <c r="F123" t="s">
        <v>168</v>
      </c>
      <c r="G123">
        <v>41</v>
      </c>
      <c r="H123" t="str">
        <f t="shared" si="2"/>
        <v>Over 40</v>
      </c>
      <c r="I123" t="s">
        <v>14</v>
      </c>
      <c r="J123" t="s">
        <v>15</v>
      </c>
      <c r="K123" t="s">
        <v>16</v>
      </c>
      <c r="L123" s="2">
        <v>1300</v>
      </c>
      <c r="M123" t="s">
        <v>17</v>
      </c>
      <c r="N123" s="2">
        <v>600</v>
      </c>
      <c r="O123" s="2">
        <f t="shared" si="4"/>
        <v>1900</v>
      </c>
    </row>
    <row r="124" spans="1:15" x14ac:dyDescent="0.35">
      <c r="A124">
        <v>123</v>
      </c>
      <c r="B124" t="e" vm="37">
        <v>#VALUE!</v>
      </c>
      <c r="C124" s="1">
        <v>44824</v>
      </c>
      <c r="D124" s="1">
        <v>44834</v>
      </c>
      <c r="E124">
        <v>10</v>
      </c>
      <c r="F124" t="s">
        <v>169</v>
      </c>
      <c r="G124">
        <v>35</v>
      </c>
      <c r="H124" t="str">
        <f t="shared" si="2"/>
        <v>30-40</v>
      </c>
      <c r="I124" t="s">
        <v>19</v>
      </c>
      <c r="J124" t="s">
        <v>23</v>
      </c>
      <c r="K124" t="s">
        <v>29</v>
      </c>
      <c r="L124" s="2">
        <v>700</v>
      </c>
      <c r="M124" t="s">
        <v>17</v>
      </c>
      <c r="N124" s="2">
        <v>900</v>
      </c>
      <c r="O124" s="2">
        <f t="shared" si="4"/>
        <v>1600</v>
      </c>
    </row>
    <row r="125" spans="1:15" x14ac:dyDescent="0.35">
      <c r="A125">
        <v>124</v>
      </c>
      <c r="B125" t="e" vm="5">
        <v>#VALUE!</v>
      </c>
      <c r="C125" s="1">
        <v>44839</v>
      </c>
      <c r="D125" s="1">
        <v>44847</v>
      </c>
      <c r="E125">
        <v>8</v>
      </c>
      <c r="F125" t="s">
        <v>170</v>
      </c>
      <c r="G125">
        <v>24</v>
      </c>
      <c r="H125" t="str">
        <f t="shared" si="2"/>
        <v>Under 30</v>
      </c>
      <c r="I125" t="s">
        <v>14</v>
      </c>
      <c r="J125" t="s">
        <v>23</v>
      </c>
      <c r="K125" t="s">
        <v>16</v>
      </c>
      <c r="L125" s="2">
        <v>1200</v>
      </c>
      <c r="M125" t="s">
        <v>17</v>
      </c>
      <c r="N125" s="2">
        <v>700</v>
      </c>
      <c r="O125" s="2">
        <f t="shared" si="4"/>
        <v>1900</v>
      </c>
    </row>
    <row r="126" spans="1:15" x14ac:dyDescent="0.35">
      <c r="A126">
        <v>125</v>
      </c>
      <c r="B126" t="e" vm="7">
        <v>#VALUE!</v>
      </c>
      <c r="C126" s="1">
        <v>44876</v>
      </c>
      <c r="D126" s="1">
        <v>44886</v>
      </c>
      <c r="E126">
        <v>10</v>
      </c>
      <c r="F126" t="s">
        <v>171</v>
      </c>
      <c r="G126">
        <v>30</v>
      </c>
      <c r="H126" t="str">
        <f t="shared" si="2"/>
        <v>30-40</v>
      </c>
      <c r="I126" t="s">
        <v>19</v>
      </c>
      <c r="J126" t="s">
        <v>46</v>
      </c>
      <c r="K126" t="s">
        <v>29</v>
      </c>
      <c r="L126" s="2">
        <v>900</v>
      </c>
      <c r="M126" t="s">
        <v>17</v>
      </c>
      <c r="N126" s="2">
        <v>1000</v>
      </c>
      <c r="O126" s="2">
        <f t="shared" si="4"/>
        <v>1900</v>
      </c>
    </row>
    <row r="127" spans="1:15" x14ac:dyDescent="0.35">
      <c r="A127">
        <v>126</v>
      </c>
      <c r="B127" t="e" vm="6">
        <v>#VALUE!</v>
      </c>
      <c r="C127" s="1">
        <v>44919</v>
      </c>
      <c r="D127" s="1">
        <v>44927</v>
      </c>
      <c r="E127">
        <v>8</v>
      </c>
      <c r="F127" t="s">
        <v>172</v>
      </c>
      <c r="G127">
        <v>28</v>
      </c>
      <c r="H127" t="str">
        <f t="shared" si="2"/>
        <v>Under 30</v>
      </c>
      <c r="I127" t="s">
        <v>14</v>
      </c>
      <c r="J127" t="s">
        <v>15</v>
      </c>
      <c r="K127" t="s">
        <v>34</v>
      </c>
      <c r="L127" s="2">
        <v>400</v>
      </c>
      <c r="M127" t="s">
        <v>17</v>
      </c>
      <c r="N127" s="2">
        <v>700</v>
      </c>
      <c r="O127" s="2">
        <f t="shared" si="4"/>
        <v>1100</v>
      </c>
    </row>
    <row r="128" spans="1:15" x14ac:dyDescent="0.35">
      <c r="A128">
        <v>127</v>
      </c>
      <c r="B128" t="e" vm="3">
        <v>#VALUE!</v>
      </c>
      <c r="C128" s="1">
        <v>44967</v>
      </c>
      <c r="D128" s="1">
        <v>44975</v>
      </c>
      <c r="E128">
        <v>8</v>
      </c>
      <c r="F128" t="s">
        <v>173</v>
      </c>
      <c r="G128">
        <v>33</v>
      </c>
      <c r="H128" t="str">
        <f t="shared" si="2"/>
        <v>30-40</v>
      </c>
      <c r="I128" t="s">
        <v>19</v>
      </c>
      <c r="J128" t="s">
        <v>20</v>
      </c>
      <c r="K128" t="s">
        <v>16</v>
      </c>
      <c r="L128" s="2">
        <v>800</v>
      </c>
      <c r="M128" t="s">
        <v>17</v>
      </c>
      <c r="N128" s="2">
        <v>800</v>
      </c>
      <c r="O128" s="2">
        <f t="shared" si="4"/>
        <v>1600</v>
      </c>
    </row>
    <row r="129" spans="1:15" x14ac:dyDescent="0.35">
      <c r="A129">
        <v>128</v>
      </c>
      <c r="B129" t="s">
        <v>183</v>
      </c>
      <c r="C129" s="1" t="s">
        <v>183</v>
      </c>
      <c r="D129" s="1" t="s">
        <v>183</v>
      </c>
      <c r="E129" t="s">
        <v>183</v>
      </c>
      <c r="F129" t="s">
        <v>183</v>
      </c>
      <c r="G129" t="s">
        <v>183</v>
      </c>
      <c r="H129" t="str">
        <f t="shared" si="2"/>
        <v>Over 40</v>
      </c>
      <c r="I129" t="s">
        <v>183</v>
      </c>
      <c r="J129" t="s">
        <v>183</v>
      </c>
      <c r="K129" t="s">
        <v>183</v>
      </c>
      <c r="L129" s="2" t="s">
        <v>183</v>
      </c>
      <c r="M129" t="s">
        <v>183</v>
      </c>
      <c r="N129" s="2" t="s">
        <v>183</v>
      </c>
      <c r="O129" s="2">
        <f t="shared" si="4"/>
        <v>0</v>
      </c>
    </row>
    <row r="130" spans="1:15" x14ac:dyDescent="0.35">
      <c r="A130">
        <v>129</v>
      </c>
      <c r="B130" t="e" vm="6">
        <v>#VALUE!</v>
      </c>
      <c r="C130" s="1">
        <v>45047</v>
      </c>
      <c r="D130" s="1">
        <v>45053</v>
      </c>
      <c r="E130">
        <v>6</v>
      </c>
      <c r="F130" t="s">
        <v>174</v>
      </c>
      <c r="G130">
        <v>35</v>
      </c>
      <c r="H130" t="str">
        <f t="shared" si="2"/>
        <v>30-40</v>
      </c>
      <c r="I130" t="s">
        <v>14</v>
      </c>
      <c r="J130" t="s">
        <v>15</v>
      </c>
      <c r="K130" t="s">
        <v>16</v>
      </c>
      <c r="L130" s="2">
        <v>5000</v>
      </c>
      <c r="M130" t="s">
        <v>17</v>
      </c>
      <c r="N130" s="2">
        <v>2500</v>
      </c>
      <c r="O130" s="2">
        <f t="shared" si="4"/>
        <v>7500</v>
      </c>
    </row>
    <row r="131" spans="1:15" x14ac:dyDescent="0.35">
      <c r="A131">
        <v>130</v>
      </c>
      <c r="B131" t="e" vm="5">
        <v>#VALUE!</v>
      </c>
      <c r="C131" s="1">
        <v>45061</v>
      </c>
      <c r="D131" s="1">
        <v>45068</v>
      </c>
      <c r="E131">
        <v>7</v>
      </c>
      <c r="F131" t="s">
        <v>175</v>
      </c>
      <c r="G131">
        <v>28</v>
      </c>
      <c r="H131" t="str">
        <f t="shared" ref="H131:H140" si="5">IF(G131&lt;30, "Under 30", IF(G131&lt;=40, "30-40", "Over 40"))</f>
        <v>Under 30</v>
      </c>
      <c r="I131" t="s">
        <v>19</v>
      </c>
      <c r="J131" t="s">
        <v>26</v>
      </c>
      <c r="K131" t="s">
        <v>29</v>
      </c>
      <c r="L131" s="2">
        <v>7000</v>
      </c>
      <c r="M131" t="s">
        <v>30</v>
      </c>
      <c r="N131" s="2">
        <v>1500</v>
      </c>
      <c r="O131" s="2">
        <f t="shared" si="4"/>
        <v>8500</v>
      </c>
    </row>
    <row r="132" spans="1:15" x14ac:dyDescent="0.35">
      <c r="A132">
        <v>131</v>
      </c>
      <c r="B132" t="e" vm="34">
        <v>#VALUE!</v>
      </c>
      <c r="C132" s="1">
        <v>45078</v>
      </c>
      <c r="D132" s="1">
        <v>45087</v>
      </c>
      <c r="E132">
        <v>9</v>
      </c>
      <c r="F132" t="s">
        <v>176</v>
      </c>
      <c r="G132">
        <v>45</v>
      </c>
      <c r="H132" t="str">
        <f t="shared" si="5"/>
        <v>Over 40</v>
      </c>
      <c r="I132" t="s">
        <v>14</v>
      </c>
      <c r="J132" t="s">
        <v>125</v>
      </c>
      <c r="K132" t="s">
        <v>34</v>
      </c>
      <c r="L132" s="2">
        <v>3000</v>
      </c>
      <c r="M132" t="s">
        <v>127</v>
      </c>
      <c r="N132" s="2">
        <v>2000</v>
      </c>
      <c r="O132" s="2">
        <f t="shared" si="4"/>
        <v>5000</v>
      </c>
    </row>
    <row r="133" spans="1:15" x14ac:dyDescent="0.35">
      <c r="A133">
        <v>132</v>
      </c>
      <c r="B133" t="e" vm="7">
        <v>#VALUE!</v>
      </c>
      <c r="C133" s="1">
        <v>45092</v>
      </c>
      <c r="D133" s="1">
        <v>45098</v>
      </c>
      <c r="E133">
        <v>6</v>
      </c>
      <c r="F133" t="s">
        <v>121</v>
      </c>
      <c r="G133">
        <v>31</v>
      </c>
      <c r="H133" t="str">
        <f t="shared" si="5"/>
        <v>30-40</v>
      </c>
      <c r="I133" t="s">
        <v>19</v>
      </c>
      <c r="J133" t="s">
        <v>33</v>
      </c>
      <c r="K133" t="s">
        <v>16</v>
      </c>
      <c r="L133" s="2">
        <v>6000</v>
      </c>
      <c r="M133" t="s">
        <v>17</v>
      </c>
      <c r="N133" s="2">
        <v>3000</v>
      </c>
      <c r="O133" s="2">
        <f t="shared" si="4"/>
        <v>9000</v>
      </c>
    </row>
    <row r="134" spans="1:15" x14ac:dyDescent="0.35">
      <c r="A134">
        <v>133</v>
      </c>
      <c r="B134" t="e" vm="17">
        <v>#VALUE!</v>
      </c>
      <c r="C134" s="1">
        <v>45108</v>
      </c>
      <c r="D134" s="1">
        <v>45115</v>
      </c>
      <c r="E134">
        <v>7</v>
      </c>
      <c r="F134" t="s">
        <v>70</v>
      </c>
      <c r="G134">
        <v>42</v>
      </c>
      <c r="H134" t="str">
        <f t="shared" si="5"/>
        <v>Over 40</v>
      </c>
      <c r="I134" t="s">
        <v>14</v>
      </c>
      <c r="J134" t="s">
        <v>23</v>
      </c>
      <c r="K134" t="s">
        <v>29</v>
      </c>
      <c r="L134" s="2">
        <v>4000</v>
      </c>
      <c r="M134" t="s">
        <v>30</v>
      </c>
      <c r="N134" s="2">
        <v>1500</v>
      </c>
      <c r="O134" s="2">
        <f t="shared" si="4"/>
        <v>5500</v>
      </c>
    </row>
    <row r="135" spans="1:15" x14ac:dyDescent="0.35">
      <c r="A135">
        <v>134</v>
      </c>
      <c r="B135" t="e" vm="4">
        <v>#VALUE!</v>
      </c>
      <c r="C135" s="1">
        <v>45122</v>
      </c>
      <c r="D135" s="1">
        <v>45129</v>
      </c>
      <c r="E135">
        <v>7</v>
      </c>
      <c r="F135" t="s">
        <v>32</v>
      </c>
      <c r="G135">
        <v>27</v>
      </c>
      <c r="H135" t="str">
        <f t="shared" si="5"/>
        <v>Under 30</v>
      </c>
      <c r="I135" t="s">
        <v>19</v>
      </c>
      <c r="J135" t="s">
        <v>15</v>
      </c>
      <c r="K135" t="s">
        <v>16</v>
      </c>
      <c r="L135" s="2">
        <v>8000</v>
      </c>
      <c r="M135" t="s">
        <v>17</v>
      </c>
      <c r="N135" s="2">
        <v>2500</v>
      </c>
      <c r="O135" s="2">
        <f>SUM(L135,N135)</f>
        <v>10500</v>
      </c>
    </row>
    <row r="136" spans="1:15" x14ac:dyDescent="0.35">
      <c r="A136">
        <v>135</v>
      </c>
      <c r="B136" t="e" vm="8">
        <v>#VALUE!</v>
      </c>
      <c r="C136" s="1">
        <v>45139</v>
      </c>
      <c r="D136" s="1">
        <v>45148</v>
      </c>
      <c r="E136">
        <v>9</v>
      </c>
      <c r="F136" t="s">
        <v>177</v>
      </c>
      <c r="G136">
        <v>37</v>
      </c>
      <c r="H136" t="str">
        <f t="shared" si="5"/>
        <v>30-40</v>
      </c>
      <c r="I136" t="s">
        <v>14</v>
      </c>
      <c r="J136" t="s">
        <v>36</v>
      </c>
      <c r="K136" t="s">
        <v>34</v>
      </c>
      <c r="L136" s="2">
        <v>2500</v>
      </c>
      <c r="M136" t="s">
        <v>127</v>
      </c>
      <c r="N136" s="2">
        <v>2000</v>
      </c>
      <c r="O136" s="2">
        <f t="shared" si="4"/>
        <v>4500</v>
      </c>
    </row>
    <row r="137" spans="1:15" x14ac:dyDescent="0.35">
      <c r="A137">
        <v>136</v>
      </c>
      <c r="B137" t="e" vm="31">
        <v>#VALUE!</v>
      </c>
      <c r="C137" s="1">
        <v>45153</v>
      </c>
      <c r="D137" s="1">
        <v>45159</v>
      </c>
      <c r="E137">
        <v>6</v>
      </c>
      <c r="F137" t="s">
        <v>178</v>
      </c>
      <c r="G137">
        <v>29</v>
      </c>
      <c r="H137" t="str">
        <f t="shared" si="5"/>
        <v>Under 30</v>
      </c>
      <c r="I137" t="s">
        <v>19</v>
      </c>
      <c r="J137" t="s">
        <v>20</v>
      </c>
      <c r="K137" t="s">
        <v>16</v>
      </c>
      <c r="L137" s="2">
        <v>5000</v>
      </c>
      <c r="M137" t="s">
        <v>17</v>
      </c>
      <c r="N137" s="2">
        <v>3000</v>
      </c>
      <c r="O137" s="2">
        <f t="shared" si="4"/>
        <v>8000</v>
      </c>
    </row>
    <row r="138" spans="1:15" x14ac:dyDescent="0.35">
      <c r="A138">
        <v>137</v>
      </c>
      <c r="B138" t="e" vm="18">
        <v>#VALUE!</v>
      </c>
      <c r="C138" s="1">
        <v>45170</v>
      </c>
      <c r="D138" s="1">
        <v>45177</v>
      </c>
      <c r="E138">
        <v>7</v>
      </c>
      <c r="F138" t="s">
        <v>179</v>
      </c>
      <c r="G138">
        <v>34</v>
      </c>
      <c r="H138" t="str">
        <f t="shared" si="5"/>
        <v>30-40</v>
      </c>
      <c r="I138" t="s">
        <v>14</v>
      </c>
      <c r="J138" t="s">
        <v>46</v>
      </c>
      <c r="K138" t="s">
        <v>34</v>
      </c>
      <c r="L138" s="2">
        <v>2000</v>
      </c>
      <c r="M138" t="s">
        <v>30</v>
      </c>
      <c r="N138" s="2">
        <v>1000</v>
      </c>
      <c r="O138" s="2">
        <f t="shared" si="4"/>
        <v>3000</v>
      </c>
    </row>
    <row r="139" spans="1:15" x14ac:dyDescent="0.35">
      <c r="A139">
        <v>138</v>
      </c>
      <c r="B139" t="e" vm="12">
        <v>#VALUE!</v>
      </c>
      <c r="C139" s="1">
        <v>45184</v>
      </c>
      <c r="D139" s="1">
        <v>45191</v>
      </c>
      <c r="E139">
        <v>7</v>
      </c>
      <c r="F139" t="s">
        <v>180</v>
      </c>
      <c r="G139">
        <v>25</v>
      </c>
      <c r="H139" t="str">
        <f t="shared" si="5"/>
        <v>Under 30</v>
      </c>
      <c r="I139" t="s">
        <v>19</v>
      </c>
      <c r="J139" t="s">
        <v>44</v>
      </c>
      <c r="K139" t="s">
        <v>29</v>
      </c>
      <c r="L139" s="2">
        <v>6000</v>
      </c>
      <c r="M139" t="s">
        <v>17</v>
      </c>
      <c r="N139" s="2">
        <v>2500</v>
      </c>
      <c r="O139" s="2">
        <f t="shared" si="4"/>
        <v>8500</v>
      </c>
    </row>
    <row r="140" spans="1:15" x14ac:dyDescent="0.35">
      <c r="A140">
        <v>139</v>
      </c>
      <c r="B140" t="e" vm="38">
        <v>#VALUE!</v>
      </c>
      <c r="C140" s="1">
        <v>45200</v>
      </c>
      <c r="D140" s="1">
        <v>45207</v>
      </c>
      <c r="E140">
        <v>7</v>
      </c>
      <c r="F140" t="s">
        <v>181</v>
      </c>
      <c r="G140">
        <v>39</v>
      </c>
      <c r="H140" t="str">
        <f t="shared" si="5"/>
        <v>30-40</v>
      </c>
      <c r="I140" t="s">
        <v>14</v>
      </c>
      <c r="J140" t="s">
        <v>182</v>
      </c>
      <c r="K140" t="s">
        <v>16</v>
      </c>
      <c r="L140" s="2">
        <v>7000</v>
      </c>
      <c r="M140" t="s">
        <v>30</v>
      </c>
      <c r="N140" s="2">
        <v>2500</v>
      </c>
      <c r="O140" s="2">
        <f t="shared" si="4"/>
        <v>9500</v>
      </c>
    </row>
  </sheetData>
  <autoFilter ref="A1:O140" xr:uid="{00000000-0001-0000-0000-000000000000}"/>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32"/>
  <sheetViews>
    <sheetView tabSelected="1" topLeftCell="A46" zoomScale="55" zoomScaleNormal="55" workbookViewId="0">
      <selection sqref="A1:XFD1048576"/>
    </sheetView>
  </sheetViews>
  <sheetFormatPr defaultRowHeight="14.5" x14ac:dyDescent="0.35"/>
  <cols>
    <col min="1" max="16384" width="8.7265625" style="9"/>
  </cols>
  <sheetData>
    <row r="1" spans="1:1" x14ac:dyDescent="0.35">
      <c r="A1" s="8"/>
    </row>
    <row r="32" spans="29:29" x14ac:dyDescent="0.35">
      <c r="AC32" s="10"/>
    </row>
  </sheetData>
  <mergeCells count="1">
    <mergeCell ref="A1:XFD1048576"/>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N196"/>
  <sheetViews>
    <sheetView topLeftCell="A94" zoomScale="70" zoomScaleNormal="70" workbookViewId="0">
      <selection activeCell="N111" sqref="N111"/>
    </sheetView>
  </sheetViews>
  <sheetFormatPr defaultRowHeight="14.5" x14ac:dyDescent="0.35"/>
  <cols>
    <col min="1" max="1" width="13.08984375" bestFit="1" customWidth="1"/>
    <col min="2" max="2" width="28.1796875" bestFit="1" customWidth="1"/>
    <col min="3" max="3" width="7.26953125" bestFit="1" customWidth="1"/>
    <col min="4" max="4" width="8.453125" bestFit="1" customWidth="1"/>
    <col min="5" max="5" width="10.7265625" bestFit="1" customWidth="1"/>
    <col min="6" max="6" width="8.6328125" bestFit="1" customWidth="1"/>
    <col min="7" max="7" width="7.26953125" bestFit="1" customWidth="1"/>
    <col min="8" max="8" width="8.453125" bestFit="1" customWidth="1"/>
    <col min="9" max="9" width="11.54296875" bestFit="1" customWidth="1"/>
    <col min="10" max="10" width="10.7265625" bestFit="1" customWidth="1"/>
    <col min="11" max="11" width="12.6328125" bestFit="1" customWidth="1"/>
    <col min="12" max="12" width="27.08984375" bestFit="1" customWidth="1"/>
    <col min="13" max="13" width="12.6328125" bestFit="1" customWidth="1"/>
    <col min="14" max="14" width="27.08984375" bestFit="1" customWidth="1"/>
    <col min="15" max="15" width="12.6328125" bestFit="1" customWidth="1"/>
    <col min="16" max="16" width="27.08984375" bestFit="1" customWidth="1"/>
    <col min="17" max="17" width="12.6328125" bestFit="1" customWidth="1"/>
    <col min="18" max="18" width="31.90625" bestFit="1" customWidth="1"/>
    <col min="19" max="19" width="17.54296875" bestFit="1" customWidth="1"/>
  </cols>
  <sheetData>
    <row r="3" spans="1:5" x14ac:dyDescent="0.35">
      <c r="A3" t="s">
        <v>187</v>
      </c>
    </row>
    <row r="4" spans="1:5" x14ac:dyDescent="0.35">
      <c r="A4" s="5">
        <v>139</v>
      </c>
    </row>
    <row r="8" spans="1:5" x14ac:dyDescent="0.35">
      <c r="A8" t="s">
        <v>188</v>
      </c>
    </row>
    <row r="9" spans="1:5" x14ac:dyDescent="0.35">
      <c r="A9" s="6">
        <v>7.6058394160583944</v>
      </c>
    </row>
    <row r="13" spans="1:5" x14ac:dyDescent="0.35">
      <c r="A13" t="s">
        <v>189</v>
      </c>
    </row>
    <row r="14" spans="1:5" x14ac:dyDescent="0.35">
      <c r="A14" s="2">
        <v>1330</v>
      </c>
      <c r="E14" s="2"/>
    </row>
    <row r="18" spans="1:2" x14ac:dyDescent="0.35">
      <c r="A18" t="s">
        <v>190</v>
      </c>
    </row>
    <row r="19" spans="1:2" x14ac:dyDescent="0.35">
      <c r="A19" s="2">
        <v>672.56521739130437</v>
      </c>
    </row>
    <row r="22" spans="1:2" x14ac:dyDescent="0.35">
      <c r="A22" t="s">
        <v>192</v>
      </c>
    </row>
    <row r="23" spans="1:2" x14ac:dyDescent="0.35">
      <c r="A23" s="3" t="s">
        <v>184</v>
      </c>
      <c r="B23" t="s">
        <v>191</v>
      </c>
    </row>
    <row r="24" spans="1:2" x14ac:dyDescent="0.35">
      <c r="A24" s="4" t="s">
        <v>54</v>
      </c>
      <c r="B24" s="5">
        <v>14</v>
      </c>
    </row>
    <row r="25" spans="1:2" x14ac:dyDescent="0.35">
      <c r="A25" s="4" t="s">
        <v>63</v>
      </c>
      <c r="B25" s="5">
        <v>12</v>
      </c>
    </row>
    <row r="26" spans="1:2" x14ac:dyDescent="0.35">
      <c r="A26" s="4" t="s">
        <v>55</v>
      </c>
      <c r="B26" s="5">
        <v>12</v>
      </c>
    </row>
    <row r="27" spans="1:2" x14ac:dyDescent="0.35">
      <c r="A27" s="4" t="s">
        <v>58</v>
      </c>
      <c r="B27" s="5">
        <v>12</v>
      </c>
    </row>
    <row r="28" spans="1:2" x14ac:dyDescent="0.35">
      <c r="A28" s="4" t="s">
        <v>224</v>
      </c>
      <c r="B28" s="5">
        <v>10</v>
      </c>
    </row>
    <row r="29" spans="1:2" x14ac:dyDescent="0.35">
      <c r="A29" s="4" t="s">
        <v>185</v>
      </c>
      <c r="B29" s="5">
        <v>60</v>
      </c>
    </row>
    <row r="32" spans="1:2" x14ac:dyDescent="0.35">
      <c r="A32" s="3" t="s">
        <v>184</v>
      </c>
      <c r="B32" t="s">
        <v>193</v>
      </c>
    </row>
    <row r="33" spans="1:2" x14ac:dyDescent="0.35">
      <c r="A33" s="4" t="s">
        <v>17</v>
      </c>
      <c r="B33" s="5">
        <v>75</v>
      </c>
    </row>
    <row r="34" spans="1:2" x14ac:dyDescent="0.35">
      <c r="A34" s="4" t="s">
        <v>30</v>
      </c>
      <c r="B34" s="5">
        <v>37</v>
      </c>
    </row>
    <row r="35" spans="1:2" x14ac:dyDescent="0.35">
      <c r="A35" s="4" t="s">
        <v>127</v>
      </c>
      <c r="B35" s="5">
        <v>16</v>
      </c>
    </row>
    <row r="36" spans="1:2" x14ac:dyDescent="0.35">
      <c r="A36" s="4" t="s">
        <v>62</v>
      </c>
      <c r="B36" s="5">
        <v>6</v>
      </c>
    </row>
    <row r="37" spans="1:2" x14ac:dyDescent="0.35">
      <c r="A37" s="4" t="s">
        <v>107</v>
      </c>
      <c r="B37" s="5">
        <v>1</v>
      </c>
    </row>
    <row r="38" spans="1:2" x14ac:dyDescent="0.35">
      <c r="A38" s="4" t="s">
        <v>161</v>
      </c>
      <c r="B38" s="5">
        <v>1</v>
      </c>
    </row>
    <row r="39" spans="1:2" x14ac:dyDescent="0.35">
      <c r="A39" s="4" t="s">
        <v>185</v>
      </c>
      <c r="B39" s="5">
        <v>136</v>
      </c>
    </row>
    <row r="53" spans="1:10" x14ac:dyDescent="0.35">
      <c r="A53" s="4" t="s">
        <v>200</v>
      </c>
    </row>
    <row r="54" spans="1:10" x14ac:dyDescent="0.35">
      <c r="A54" s="3" t="s">
        <v>191</v>
      </c>
      <c r="B54" s="3" t="s">
        <v>186</v>
      </c>
    </row>
    <row r="55" spans="1:10" x14ac:dyDescent="0.35">
      <c r="A55" s="3" t="s">
        <v>184</v>
      </c>
      <c r="B55" t="s">
        <v>19</v>
      </c>
      <c r="C55" t="s">
        <v>14</v>
      </c>
      <c r="D55" t="s">
        <v>185</v>
      </c>
    </row>
    <row r="56" spans="1:10" x14ac:dyDescent="0.35">
      <c r="A56" s="4" t="s">
        <v>196</v>
      </c>
      <c r="B56" s="5">
        <v>33</v>
      </c>
      <c r="C56" s="5">
        <v>23</v>
      </c>
      <c r="D56" s="5">
        <v>56</v>
      </c>
    </row>
    <row r="57" spans="1:10" x14ac:dyDescent="0.35">
      <c r="A57" s="4" t="s">
        <v>197</v>
      </c>
      <c r="B57" s="5">
        <v>2</v>
      </c>
      <c r="C57" s="5">
        <v>25</v>
      </c>
      <c r="D57" s="5">
        <v>27</v>
      </c>
    </row>
    <row r="58" spans="1:10" x14ac:dyDescent="0.35">
      <c r="A58" s="4" t="s">
        <v>198</v>
      </c>
      <c r="B58" s="5">
        <v>35</v>
      </c>
      <c r="C58" s="5">
        <v>19</v>
      </c>
      <c r="D58" s="5">
        <v>54</v>
      </c>
    </row>
    <row r="59" spans="1:10" x14ac:dyDescent="0.35">
      <c r="A59" s="4" t="s">
        <v>185</v>
      </c>
      <c r="B59" s="5">
        <v>70</v>
      </c>
      <c r="C59" s="5">
        <v>67</v>
      </c>
      <c r="D59" s="5">
        <v>137</v>
      </c>
    </row>
    <row r="63" spans="1:10" x14ac:dyDescent="0.35">
      <c r="A63" s="3" t="s">
        <v>194</v>
      </c>
      <c r="B63" s="3" t="s">
        <v>186</v>
      </c>
    </row>
    <row r="64" spans="1:10" x14ac:dyDescent="0.35">
      <c r="B64" t="s">
        <v>14</v>
      </c>
      <c r="E64" t="s">
        <v>201</v>
      </c>
      <c r="F64" t="s">
        <v>19</v>
      </c>
      <c r="I64" t="s">
        <v>202</v>
      </c>
      <c r="J64" t="s">
        <v>185</v>
      </c>
    </row>
    <row r="65" spans="1:10" x14ac:dyDescent="0.35">
      <c r="A65" s="3" t="s">
        <v>184</v>
      </c>
      <c r="B65" t="s">
        <v>196</v>
      </c>
      <c r="C65" t="s">
        <v>197</v>
      </c>
      <c r="D65" t="s">
        <v>198</v>
      </c>
      <c r="F65" t="s">
        <v>196</v>
      </c>
      <c r="G65" t="s">
        <v>197</v>
      </c>
      <c r="H65" t="s">
        <v>198</v>
      </c>
    </row>
    <row r="66" spans="1:10" x14ac:dyDescent="0.35">
      <c r="A66" s="4" t="s">
        <v>54</v>
      </c>
      <c r="B66" s="5">
        <v>4</v>
      </c>
      <c r="C66" s="5">
        <v>3</v>
      </c>
      <c r="D66" s="5">
        <v>1</v>
      </c>
      <c r="E66" s="5">
        <v>8</v>
      </c>
      <c r="F66" s="5">
        <v>4</v>
      </c>
      <c r="G66" s="5"/>
      <c r="H66" s="5">
        <v>2</v>
      </c>
      <c r="I66" s="5">
        <v>6</v>
      </c>
      <c r="J66" s="5">
        <v>14</v>
      </c>
    </row>
    <row r="67" spans="1:10" x14ac:dyDescent="0.35">
      <c r="A67" s="4" t="s">
        <v>55</v>
      </c>
      <c r="B67" s="5">
        <v>1</v>
      </c>
      <c r="C67" s="5">
        <v>1</v>
      </c>
      <c r="D67" s="5">
        <v>2</v>
      </c>
      <c r="E67" s="5">
        <v>4</v>
      </c>
      <c r="F67" s="5">
        <v>4</v>
      </c>
      <c r="G67" s="5">
        <v>1</v>
      </c>
      <c r="H67" s="5">
        <v>3</v>
      </c>
      <c r="I67" s="5">
        <v>8</v>
      </c>
      <c r="J67" s="5">
        <v>12</v>
      </c>
    </row>
    <row r="68" spans="1:10" x14ac:dyDescent="0.35">
      <c r="A68" s="4" t="s">
        <v>58</v>
      </c>
      <c r="B68" s="5"/>
      <c r="C68" s="5">
        <v>1</v>
      </c>
      <c r="D68" s="5">
        <v>4</v>
      </c>
      <c r="E68" s="5">
        <v>5</v>
      </c>
      <c r="F68" s="5">
        <v>1</v>
      </c>
      <c r="G68" s="5"/>
      <c r="H68" s="5">
        <v>6</v>
      </c>
      <c r="I68" s="5">
        <v>7</v>
      </c>
      <c r="J68" s="5">
        <v>12</v>
      </c>
    </row>
    <row r="69" spans="1:10" x14ac:dyDescent="0.35">
      <c r="A69" s="4" t="s">
        <v>63</v>
      </c>
      <c r="B69" s="5">
        <v>3</v>
      </c>
      <c r="C69" s="5">
        <v>3</v>
      </c>
      <c r="D69" s="5">
        <v>1</v>
      </c>
      <c r="E69" s="5">
        <v>7</v>
      </c>
      <c r="F69" s="5">
        <v>3</v>
      </c>
      <c r="G69" s="5"/>
      <c r="H69" s="5">
        <v>2</v>
      </c>
      <c r="I69" s="5">
        <v>5</v>
      </c>
      <c r="J69" s="5">
        <v>12</v>
      </c>
    </row>
    <row r="70" spans="1:10" x14ac:dyDescent="0.35">
      <c r="A70" s="4" t="s">
        <v>185</v>
      </c>
      <c r="B70" s="5">
        <v>8</v>
      </c>
      <c r="C70" s="5">
        <v>8</v>
      </c>
      <c r="D70" s="5">
        <v>8</v>
      </c>
      <c r="E70" s="5">
        <v>24</v>
      </c>
      <c r="F70" s="5">
        <v>12</v>
      </c>
      <c r="G70" s="5">
        <v>1</v>
      </c>
      <c r="H70" s="5">
        <v>13</v>
      </c>
      <c r="I70" s="5">
        <v>26</v>
      </c>
      <c r="J70" s="5">
        <v>50</v>
      </c>
    </row>
    <row r="74" spans="1:10" x14ac:dyDescent="0.35">
      <c r="A74" s="3" t="s">
        <v>199</v>
      </c>
      <c r="B74" s="3" t="s">
        <v>186</v>
      </c>
    </row>
    <row r="75" spans="1:10" x14ac:dyDescent="0.35">
      <c r="A75" s="3" t="s">
        <v>184</v>
      </c>
      <c r="B75" t="s">
        <v>196</v>
      </c>
      <c r="C75" t="s">
        <v>197</v>
      </c>
      <c r="D75" t="s">
        <v>198</v>
      </c>
      <c r="E75" t="s">
        <v>185</v>
      </c>
    </row>
    <row r="76" spans="1:10" x14ac:dyDescent="0.35">
      <c r="A76" s="4" t="s">
        <v>209</v>
      </c>
      <c r="B76" s="5">
        <v>3</v>
      </c>
      <c r="C76" s="5">
        <v>1</v>
      </c>
      <c r="D76" s="5">
        <v>4</v>
      </c>
      <c r="E76" s="5">
        <v>8</v>
      </c>
    </row>
    <row r="77" spans="1:10" x14ac:dyDescent="0.35">
      <c r="A77" s="4" t="s">
        <v>205</v>
      </c>
      <c r="B77" s="5">
        <v>2</v>
      </c>
      <c r="C77" s="5">
        <v>1</v>
      </c>
      <c r="D77" s="5"/>
      <c r="E77" s="5">
        <v>3</v>
      </c>
    </row>
    <row r="78" spans="1:10" x14ac:dyDescent="0.35">
      <c r="A78" s="4" t="s">
        <v>77</v>
      </c>
      <c r="B78" s="5">
        <v>1</v>
      </c>
      <c r="C78" s="5"/>
      <c r="D78" s="5"/>
      <c r="E78" s="5">
        <v>1</v>
      </c>
    </row>
    <row r="79" spans="1:10" x14ac:dyDescent="0.35">
      <c r="A79" s="4" t="s">
        <v>206</v>
      </c>
      <c r="B79" s="5">
        <v>1</v>
      </c>
      <c r="C79" s="5"/>
      <c r="D79" s="5"/>
      <c r="E79" s="5">
        <v>1</v>
      </c>
    </row>
    <row r="80" spans="1:10" x14ac:dyDescent="0.35">
      <c r="A80" s="4" t="s">
        <v>208</v>
      </c>
      <c r="B80" s="5"/>
      <c r="C80" s="5"/>
      <c r="D80" s="5">
        <v>1</v>
      </c>
      <c r="E80" s="5">
        <v>1</v>
      </c>
    </row>
    <row r="81" spans="1:5" x14ac:dyDescent="0.35">
      <c r="A81" s="4" t="s">
        <v>185</v>
      </c>
      <c r="B81" s="5">
        <v>7</v>
      </c>
      <c r="C81" s="5">
        <v>2</v>
      </c>
      <c r="D81" s="5">
        <v>5</v>
      </c>
      <c r="E81" s="5">
        <v>14</v>
      </c>
    </row>
    <row r="84" spans="1:5" x14ac:dyDescent="0.35">
      <c r="A84" s="3" t="s">
        <v>184</v>
      </c>
      <c r="B84" t="s">
        <v>189</v>
      </c>
    </row>
    <row r="85" spans="1:5" x14ac:dyDescent="0.35">
      <c r="A85" s="4" t="s">
        <v>126</v>
      </c>
      <c r="B85" s="2">
        <v>400</v>
      </c>
    </row>
    <row r="86" spans="1:5" x14ac:dyDescent="0.35">
      <c r="A86" s="4" t="s">
        <v>34</v>
      </c>
      <c r="B86" s="2">
        <v>622.08333333333337</v>
      </c>
    </row>
    <row r="87" spans="1:5" x14ac:dyDescent="0.35">
      <c r="A87" s="4" t="s">
        <v>29</v>
      </c>
      <c r="B87" s="2">
        <v>1181.6666666666667</v>
      </c>
    </row>
    <row r="88" spans="1:5" x14ac:dyDescent="0.35">
      <c r="A88" s="4" t="s">
        <v>16</v>
      </c>
      <c r="B88" s="2">
        <v>1491.6666666666667</v>
      </c>
    </row>
    <row r="89" spans="1:5" x14ac:dyDescent="0.35">
      <c r="A89" s="4" t="s">
        <v>21</v>
      </c>
      <c r="B89" s="2">
        <v>1521.4285714285713</v>
      </c>
    </row>
    <row r="90" spans="1:5" x14ac:dyDescent="0.35">
      <c r="A90" s="4" t="s">
        <v>185</v>
      </c>
      <c r="B90" s="5">
        <v>1252.5581395348838</v>
      </c>
    </row>
    <row r="97" spans="1:14" x14ac:dyDescent="0.35">
      <c r="A97" s="3" t="s">
        <v>184</v>
      </c>
      <c r="B97" t="s">
        <v>190</v>
      </c>
    </row>
    <row r="98" spans="1:14" x14ac:dyDescent="0.35">
      <c r="A98" s="4" t="s">
        <v>62</v>
      </c>
      <c r="B98" s="2">
        <v>70.833333333333329</v>
      </c>
    </row>
    <row r="99" spans="1:14" x14ac:dyDescent="0.35">
      <c r="A99" s="4" t="s">
        <v>127</v>
      </c>
      <c r="B99" s="2">
        <v>509.375</v>
      </c>
    </row>
    <row r="100" spans="1:14" x14ac:dyDescent="0.35">
      <c r="A100" s="4" t="s">
        <v>161</v>
      </c>
      <c r="B100" s="2">
        <v>150</v>
      </c>
    </row>
    <row r="101" spans="1:14" x14ac:dyDescent="0.35">
      <c r="A101" s="4" t="s">
        <v>17</v>
      </c>
      <c r="B101" s="2">
        <v>883.33333333333337</v>
      </c>
    </row>
    <row r="102" spans="1:14" x14ac:dyDescent="0.35">
      <c r="A102" s="4" t="s">
        <v>107</v>
      </c>
      <c r="B102" s="2">
        <v>20</v>
      </c>
    </row>
    <row r="103" spans="1:14" x14ac:dyDescent="0.35">
      <c r="A103" s="4" t="s">
        <v>30</v>
      </c>
      <c r="B103" s="2">
        <v>344.59459459459458</v>
      </c>
    </row>
    <row r="104" spans="1:14" x14ac:dyDescent="0.35">
      <c r="A104" s="4" t="s">
        <v>185</v>
      </c>
      <c r="B104" s="5">
        <v>645.18382352941171</v>
      </c>
    </row>
    <row r="107" spans="1:14" x14ac:dyDescent="0.35">
      <c r="E107" s="7"/>
      <c r="F107" s="7"/>
      <c r="G107" s="7"/>
      <c r="H107" s="7"/>
      <c r="I107" s="7"/>
      <c r="J107" s="7"/>
      <c r="K107" s="7"/>
      <c r="L107" s="7"/>
      <c r="M107" s="7"/>
      <c r="N107" s="7"/>
    </row>
    <row r="108" spans="1:14" x14ac:dyDescent="0.35">
      <c r="E108" s="4"/>
      <c r="F108" s="2"/>
      <c r="G108" s="2"/>
      <c r="H108" s="2"/>
      <c r="I108" s="2"/>
      <c r="J108" s="2"/>
      <c r="K108" s="2"/>
      <c r="L108" s="2"/>
      <c r="M108" s="2"/>
      <c r="N108" s="2"/>
    </row>
    <row r="109" spans="1:14" x14ac:dyDescent="0.35">
      <c r="A109" s="3" t="s">
        <v>184</v>
      </c>
      <c r="B109" t="s">
        <v>189</v>
      </c>
      <c r="C109" t="s">
        <v>190</v>
      </c>
      <c r="E109" s="7" t="s">
        <v>184</v>
      </c>
      <c r="F109" s="7" t="s">
        <v>189</v>
      </c>
      <c r="G109" s="7" t="s">
        <v>190</v>
      </c>
      <c r="H109" s="2"/>
      <c r="I109" s="2"/>
      <c r="J109" s="2"/>
      <c r="K109" s="2"/>
      <c r="L109" s="2"/>
      <c r="M109" s="2"/>
      <c r="N109" s="2"/>
    </row>
    <row r="110" spans="1:14" x14ac:dyDescent="0.35">
      <c r="A110" s="4" t="s">
        <v>205</v>
      </c>
      <c r="B110" s="2">
        <v>966.66666666666663</v>
      </c>
      <c r="C110" s="2">
        <v>350</v>
      </c>
      <c r="E110" s="4" t="s">
        <v>205</v>
      </c>
      <c r="F110" s="2">
        <v>966.66666666666663</v>
      </c>
      <c r="G110" s="2">
        <v>350</v>
      </c>
      <c r="H110" s="2"/>
      <c r="I110" s="2"/>
      <c r="J110" s="2"/>
      <c r="K110" s="2"/>
      <c r="L110" s="2"/>
      <c r="M110" s="2"/>
      <c r="N110" s="2"/>
    </row>
    <row r="111" spans="1:14" x14ac:dyDescent="0.35">
      <c r="A111" s="4" t="s">
        <v>206</v>
      </c>
      <c r="B111" s="2">
        <v>700</v>
      </c>
      <c r="C111" s="2">
        <v>900</v>
      </c>
      <c r="E111" s="4" t="s">
        <v>206</v>
      </c>
      <c r="F111" s="2">
        <v>700</v>
      </c>
      <c r="G111" s="2">
        <v>900</v>
      </c>
      <c r="H111" s="2"/>
      <c r="I111" s="2"/>
      <c r="J111" s="2"/>
      <c r="K111" s="2"/>
      <c r="L111" s="2"/>
      <c r="M111" s="2"/>
      <c r="N111" s="2"/>
    </row>
    <row r="112" spans="1:14" x14ac:dyDescent="0.35">
      <c r="A112" s="4" t="s">
        <v>207</v>
      </c>
      <c r="B112" s="2">
        <v>7000</v>
      </c>
      <c r="C112" s="2">
        <v>2500</v>
      </c>
      <c r="E112" s="4" t="s">
        <v>207</v>
      </c>
      <c r="F112" s="2">
        <v>7000</v>
      </c>
      <c r="G112" s="2">
        <v>2500</v>
      </c>
      <c r="H112" s="2"/>
      <c r="I112" s="2"/>
      <c r="J112" s="2"/>
      <c r="K112" s="2"/>
      <c r="L112" s="2"/>
      <c r="M112" s="2"/>
      <c r="N112" s="2"/>
    </row>
    <row r="113" spans="1:14" x14ac:dyDescent="0.35">
      <c r="A113" s="4" t="s">
        <v>208</v>
      </c>
      <c r="B113" s="2">
        <v>1000</v>
      </c>
      <c r="C113" s="2">
        <v>500</v>
      </c>
      <c r="E113" s="4" t="s">
        <v>208</v>
      </c>
      <c r="F113" s="2">
        <v>1000</v>
      </c>
      <c r="G113" s="2">
        <v>500</v>
      </c>
      <c r="H113" s="2"/>
      <c r="I113" s="2"/>
      <c r="J113" s="2"/>
      <c r="K113" s="2"/>
      <c r="L113" s="2"/>
      <c r="M113" s="2"/>
      <c r="N113" s="2"/>
    </row>
    <row r="114" spans="1:14" x14ac:dyDescent="0.35">
      <c r="A114" s="4" t="s">
        <v>55</v>
      </c>
      <c r="B114" s="2">
        <v>1191.6666666666667</v>
      </c>
      <c r="C114" s="2">
        <v>808.33333333333337</v>
      </c>
      <c r="E114" s="4" t="s">
        <v>55</v>
      </c>
      <c r="F114" s="2">
        <v>1191.6666666666667</v>
      </c>
      <c r="G114" s="2">
        <v>808.33333333333337</v>
      </c>
    </row>
    <row r="115" spans="1:14" x14ac:dyDescent="0.35">
      <c r="A115" s="4" t="s">
        <v>209</v>
      </c>
      <c r="B115" s="2">
        <v>587.5</v>
      </c>
      <c r="C115" s="2">
        <v>362.5</v>
      </c>
      <c r="E115" s="4" t="s">
        <v>209</v>
      </c>
      <c r="F115" s="2">
        <v>587.5</v>
      </c>
      <c r="G115" s="2">
        <v>362.5</v>
      </c>
    </row>
    <row r="116" spans="1:14" x14ac:dyDescent="0.35">
      <c r="A116" s="4" t="s">
        <v>210</v>
      </c>
      <c r="B116" s="2">
        <v>1683.3333333333333</v>
      </c>
      <c r="C116" s="2">
        <v>716.66666666666663</v>
      </c>
      <c r="E116" s="4" t="s">
        <v>210</v>
      </c>
      <c r="F116" s="2">
        <v>1683.3333333333333</v>
      </c>
      <c r="G116" s="2">
        <v>716.66666666666663</v>
      </c>
    </row>
    <row r="117" spans="1:14" x14ac:dyDescent="0.35">
      <c r="A117" s="4" t="s">
        <v>211</v>
      </c>
      <c r="B117" s="2">
        <v>1400</v>
      </c>
      <c r="C117" s="2">
        <v>700</v>
      </c>
      <c r="E117" s="4" t="s">
        <v>211</v>
      </c>
      <c r="F117" s="2">
        <v>1400</v>
      </c>
      <c r="G117" s="2">
        <v>700</v>
      </c>
    </row>
    <row r="118" spans="1:14" x14ac:dyDescent="0.35">
      <c r="A118" s="4" t="s">
        <v>77</v>
      </c>
      <c r="B118" s="2">
        <v>150</v>
      </c>
      <c r="C118" s="2">
        <v>50</v>
      </c>
      <c r="E118" s="4" t="s">
        <v>77</v>
      </c>
      <c r="F118" s="2">
        <v>150</v>
      </c>
      <c r="G118" s="2">
        <v>50</v>
      </c>
    </row>
    <row r="119" spans="1:14" x14ac:dyDescent="0.35">
      <c r="A119" s="4" t="s">
        <v>87</v>
      </c>
      <c r="B119" s="2">
        <v>350</v>
      </c>
      <c r="C119" s="2">
        <v>75</v>
      </c>
      <c r="E119" s="4" t="s">
        <v>87</v>
      </c>
      <c r="F119" s="2">
        <v>350</v>
      </c>
      <c r="G119" s="2">
        <v>75</v>
      </c>
    </row>
    <row r="120" spans="1:14" x14ac:dyDescent="0.35">
      <c r="A120" s="4" t="s">
        <v>212</v>
      </c>
      <c r="B120" s="2">
        <v>1325</v>
      </c>
      <c r="C120" s="2">
        <v>600</v>
      </c>
      <c r="E120" s="4" t="s">
        <v>212</v>
      </c>
      <c r="F120" s="2">
        <v>1325</v>
      </c>
      <c r="G120" s="2">
        <v>600</v>
      </c>
    </row>
    <row r="121" spans="1:14" x14ac:dyDescent="0.35">
      <c r="A121" s="4" t="s">
        <v>213</v>
      </c>
      <c r="B121" s="2">
        <v>1175</v>
      </c>
      <c r="C121" s="2">
        <v>1000</v>
      </c>
      <c r="E121" s="4" t="s">
        <v>213</v>
      </c>
      <c r="F121" s="2">
        <v>1175</v>
      </c>
      <c r="G121" s="2">
        <v>1000</v>
      </c>
    </row>
    <row r="122" spans="1:14" x14ac:dyDescent="0.35">
      <c r="A122" s="4" t="s">
        <v>214</v>
      </c>
      <c r="B122" s="2">
        <v>1666.6666666666667</v>
      </c>
      <c r="C122" s="2">
        <v>633.33333333333337</v>
      </c>
      <c r="E122" s="4" t="s">
        <v>214</v>
      </c>
      <c r="F122" s="2">
        <v>1666.6666666666667</v>
      </c>
      <c r="G122" s="2">
        <v>633.33333333333337</v>
      </c>
    </row>
    <row r="123" spans="1:14" x14ac:dyDescent="0.35">
      <c r="A123" s="4" t="s">
        <v>215</v>
      </c>
      <c r="B123" s="2">
        <v>900</v>
      </c>
      <c r="C123" s="2">
        <v>150</v>
      </c>
      <c r="E123" s="4" t="s">
        <v>215</v>
      </c>
      <c r="F123" s="2">
        <v>900</v>
      </c>
      <c r="G123" s="2">
        <v>150</v>
      </c>
    </row>
    <row r="124" spans="1:14" x14ac:dyDescent="0.35">
      <c r="A124" s="4" t="s">
        <v>216</v>
      </c>
      <c r="B124" s="2">
        <v>700</v>
      </c>
      <c r="C124" s="2">
        <v>100</v>
      </c>
      <c r="E124" s="4" t="s">
        <v>216</v>
      </c>
      <c r="F124" s="2">
        <v>700</v>
      </c>
      <c r="G124" s="2">
        <v>100</v>
      </c>
    </row>
    <row r="125" spans="1:14" x14ac:dyDescent="0.35">
      <c r="A125" s="4" t="s">
        <v>217</v>
      </c>
      <c r="B125" s="2">
        <v>600</v>
      </c>
      <c r="C125" s="2">
        <v>300</v>
      </c>
      <c r="E125" s="4" t="s">
        <v>217</v>
      </c>
      <c r="F125" s="2">
        <v>600</v>
      </c>
      <c r="G125" s="2">
        <v>300</v>
      </c>
    </row>
    <row r="126" spans="1:14" x14ac:dyDescent="0.35">
      <c r="A126" s="4" t="s">
        <v>79</v>
      </c>
      <c r="B126" s="2">
        <v>400</v>
      </c>
      <c r="C126" s="2">
        <v>600</v>
      </c>
      <c r="E126" s="4" t="s">
        <v>79</v>
      </c>
      <c r="F126" s="2">
        <v>400</v>
      </c>
      <c r="G126" s="2">
        <v>600</v>
      </c>
    </row>
    <row r="127" spans="1:14" x14ac:dyDescent="0.35">
      <c r="A127" s="4" t="s">
        <v>218</v>
      </c>
      <c r="B127" s="2">
        <v>2000</v>
      </c>
      <c r="C127" s="2">
        <v>800</v>
      </c>
      <c r="E127" s="4" t="s">
        <v>218</v>
      </c>
      <c r="F127" s="2">
        <v>2000</v>
      </c>
      <c r="G127" s="2">
        <v>800</v>
      </c>
    </row>
    <row r="128" spans="1:14" x14ac:dyDescent="0.35">
      <c r="A128" s="4" t="s">
        <v>219</v>
      </c>
      <c r="B128" s="2">
        <v>3000</v>
      </c>
      <c r="C128" s="2">
        <v>1200</v>
      </c>
      <c r="E128" s="4" t="s">
        <v>219</v>
      </c>
      <c r="F128" s="2">
        <v>3000</v>
      </c>
      <c r="G128" s="2">
        <v>1200</v>
      </c>
    </row>
    <row r="129" spans="1:7" x14ac:dyDescent="0.35">
      <c r="A129" s="4" t="s">
        <v>83</v>
      </c>
      <c r="B129" s="2">
        <v>180</v>
      </c>
      <c r="C129" s="2">
        <v>120</v>
      </c>
      <c r="E129" s="4" t="s">
        <v>83</v>
      </c>
      <c r="F129" s="2">
        <v>180</v>
      </c>
      <c r="G129" s="2">
        <v>120</v>
      </c>
    </row>
    <row r="130" spans="1:7" x14ac:dyDescent="0.35">
      <c r="A130" s="4" t="s">
        <v>72</v>
      </c>
      <c r="B130" s="2">
        <v>800</v>
      </c>
      <c r="C130" s="2">
        <v>500</v>
      </c>
      <c r="E130" s="4" t="s">
        <v>72</v>
      </c>
      <c r="F130" s="2">
        <v>800</v>
      </c>
      <c r="G130" s="2">
        <v>500</v>
      </c>
    </row>
    <row r="131" spans="1:7" x14ac:dyDescent="0.35">
      <c r="A131" s="4" t="s">
        <v>220</v>
      </c>
      <c r="B131" s="2">
        <v>871.42857142857144</v>
      </c>
      <c r="C131" s="2">
        <v>328.57142857142856</v>
      </c>
      <c r="E131" s="4" t="s">
        <v>220</v>
      </c>
      <c r="F131" s="2">
        <v>871.42857142857144</v>
      </c>
      <c r="G131" s="2">
        <v>328.57142857142856</v>
      </c>
    </row>
    <row r="132" spans="1:7" x14ac:dyDescent="0.35">
      <c r="A132" s="4" t="s">
        <v>221</v>
      </c>
      <c r="B132" s="2">
        <v>1200</v>
      </c>
      <c r="C132" s="2">
        <v>300</v>
      </c>
      <c r="E132" s="4" t="s">
        <v>221</v>
      </c>
      <c r="F132" s="2">
        <v>1200</v>
      </c>
      <c r="G132" s="2">
        <v>300</v>
      </c>
    </row>
    <row r="133" spans="1:7" x14ac:dyDescent="0.35">
      <c r="A133" s="4" t="s">
        <v>222</v>
      </c>
      <c r="B133" s="2">
        <v>600</v>
      </c>
      <c r="C133" s="2">
        <v>400</v>
      </c>
      <c r="E133" s="4" t="s">
        <v>222</v>
      </c>
      <c r="F133" s="2">
        <v>600</v>
      </c>
      <c r="G133" s="2">
        <v>400</v>
      </c>
    </row>
    <row r="134" spans="1:7" x14ac:dyDescent="0.35">
      <c r="A134" s="4" t="s">
        <v>223</v>
      </c>
      <c r="B134" s="2">
        <v>500</v>
      </c>
      <c r="C134" s="2">
        <v>800</v>
      </c>
      <c r="E134" s="4" t="s">
        <v>223</v>
      </c>
      <c r="F134" s="2">
        <v>500</v>
      </c>
      <c r="G134" s="2">
        <v>800</v>
      </c>
    </row>
    <row r="135" spans="1:7" x14ac:dyDescent="0.35">
      <c r="A135" s="4" t="s">
        <v>224</v>
      </c>
      <c r="B135" s="2">
        <v>1870</v>
      </c>
      <c r="C135" s="2">
        <v>740</v>
      </c>
      <c r="E135" s="4" t="s">
        <v>224</v>
      </c>
      <c r="F135" s="2">
        <v>1870</v>
      </c>
      <c r="G135" s="2">
        <v>740</v>
      </c>
    </row>
    <row r="136" spans="1:7" x14ac:dyDescent="0.35">
      <c r="A136" s="4" t="s">
        <v>54</v>
      </c>
      <c r="B136" s="2">
        <v>1342.8571428571429</v>
      </c>
      <c r="C136" s="2">
        <v>692.85714285714289</v>
      </c>
      <c r="E136" s="4" t="s">
        <v>54</v>
      </c>
      <c r="F136" s="2">
        <v>1342.8571428571429</v>
      </c>
      <c r="G136" s="2">
        <v>692.85714285714289</v>
      </c>
    </row>
    <row r="137" spans="1:7" x14ac:dyDescent="0.35">
      <c r="A137" s="4" t="s">
        <v>225</v>
      </c>
      <c r="B137" s="2">
        <v>200</v>
      </c>
      <c r="C137" s="2">
        <v>500</v>
      </c>
      <c r="E137" s="4" t="s">
        <v>225</v>
      </c>
      <c r="F137" s="2">
        <v>200</v>
      </c>
      <c r="G137" s="2">
        <v>500</v>
      </c>
    </row>
    <row r="138" spans="1:7" x14ac:dyDescent="0.35">
      <c r="A138" s="4" t="s">
        <v>226</v>
      </c>
      <c r="B138" s="2">
        <v>1166.6666666666667</v>
      </c>
      <c r="C138" s="2">
        <v>666.66666666666663</v>
      </c>
      <c r="E138" s="4" t="s">
        <v>226</v>
      </c>
      <c r="F138" s="2">
        <v>1166.6666666666667</v>
      </c>
      <c r="G138" s="2">
        <v>666.66666666666663</v>
      </c>
    </row>
    <row r="139" spans="1:7" x14ac:dyDescent="0.35">
      <c r="A139" s="4" t="s">
        <v>227</v>
      </c>
      <c r="B139" s="2">
        <v>1260</v>
      </c>
      <c r="C139" s="2">
        <v>770</v>
      </c>
      <c r="E139" s="4" t="s">
        <v>227</v>
      </c>
      <c r="F139" s="2">
        <v>1260</v>
      </c>
      <c r="G139" s="2">
        <v>770</v>
      </c>
    </row>
    <row r="140" spans="1:7" x14ac:dyDescent="0.35">
      <c r="A140" s="4" t="s">
        <v>228</v>
      </c>
      <c r="B140" s="2">
        <v>1088.8888888888889</v>
      </c>
      <c r="C140" s="2">
        <v>460</v>
      </c>
      <c r="E140" s="4" t="s">
        <v>228</v>
      </c>
      <c r="F140" s="2">
        <v>1088.8888888888889</v>
      </c>
      <c r="G140" s="2">
        <v>460</v>
      </c>
    </row>
    <row r="141" spans="1:7" x14ac:dyDescent="0.35">
      <c r="A141" s="4" t="s">
        <v>229</v>
      </c>
      <c r="B141" s="2">
        <v>1000</v>
      </c>
      <c r="C141" s="2">
        <v>150</v>
      </c>
      <c r="E141" s="4" t="s">
        <v>229</v>
      </c>
      <c r="F141" s="2">
        <v>1000</v>
      </c>
      <c r="G141" s="2">
        <v>150</v>
      </c>
    </row>
    <row r="142" spans="1:7" x14ac:dyDescent="0.35">
      <c r="A142" s="4" t="s">
        <v>230</v>
      </c>
      <c r="B142" s="2">
        <v>650</v>
      </c>
      <c r="C142" s="2">
        <v>85</v>
      </c>
      <c r="E142" s="4" t="s">
        <v>230</v>
      </c>
      <c r="F142" s="2">
        <v>650</v>
      </c>
      <c r="G142" s="2">
        <v>85</v>
      </c>
    </row>
    <row r="143" spans="1:7" x14ac:dyDescent="0.35">
      <c r="A143" s="4" t="s">
        <v>85</v>
      </c>
      <c r="B143" s="2">
        <v>900</v>
      </c>
      <c r="C143" s="2">
        <v>400</v>
      </c>
      <c r="E143" s="4" t="s">
        <v>85</v>
      </c>
      <c r="F143" s="2">
        <v>900</v>
      </c>
      <c r="G143" s="2">
        <v>400</v>
      </c>
    </row>
    <row r="144" spans="1:7" x14ac:dyDescent="0.35">
      <c r="A144" s="4" t="s">
        <v>63</v>
      </c>
      <c r="B144" s="2">
        <v>1225</v>
      </c>
      <c r="C144" s="2">
        <v>970.83333333333337</v>
      </c>
      <c r="E144" s="4" t="s">
        <v>63</v>
      </c>
      <c r="F144" s="2">
        <v>1225</v>
      </c>
      <c r="G144" s="2">
        <v>970.83333333333337</v>
      </c>
    </row>
    <row r="145" spans="1:7" x14ac:dyDescent="0.35">
      <c r="A145" s="4" t="s">
        <v>231</v>
      </c>
      <c r="B145" s="2">
        <v>200</v>
      </c>
      <c r="C145" s="2">
        <v>150</v>
      </c>
      <c r="E145" s="4" t="s">
        <v>231</v>
      </c>
      <c r="F145" s="2">
        <v>200</v>
      </c>
      <c r="G145" s="2">
        <v>150</v>
      </c>
    </row>
    <row r="146" spans="1:7" x14ac:dyDescent="0.35">
      <c r="A146" s="4" t="s">
        <v>58</v>
      </c>
      <c r="B146" s="2">
        <v>1266.6666666666667</v>
      </c>
      <c r="C146" s="2">
        <v>533.33333333333337</v>
      </c>
      <c r="E146" s="4" t="s">
        <v>58</v>
      </c>
      <c r="F146" s="2">
        <v>1266.6666666666667</v>
      </c>
      <c r="G146" s="2">
        <v>533.33333333333337</v>
      </c>
    </row>
    <row r="147" spans="1:7" x14ac:dyDescent="0.35">
      <c r="A147" s="4" t="s">
        <v>232</v>
      </c>
      <c r="B147" s="2">
        <v>2700</v>
      </c>
      <c r="C147" s="2">
        <v>1575</v>
      </c>
      <c r="E147" s="4" t="s">
        <v>232</v>
      </c>
      <c r="F147" s="2">
        <v>2700</v>
      </c>
      <c r="G147" s="2">
        <v>1575</v>
      </c>
    </row>
    <row r="148" spans="1:7" x14ac:dyDescent="0.35">
      <c r="A148" s="4" t="s">
        <v>185</v>
      </c>
      <c r="B148" s="2">
        <v>1245.1094890510949</v>
      </c>
      <c r="C148" s="2">
        <v>645.18382352941171</v>
      </c>
    </row>
    <row r="155" spans="1:7" x14ac:dyDescent="0.35">
      <c r="A155" s="3" t="s">
        <v>184</v>
      </c>
      <c r="B155" t="s">
        <v>233</v>
      </c>
    </row>
    <row r="156" spans="1:7" x14ac:dyDescent="0.35">
      <c r="A156" s="4" t="s">
        <v>205</v>
      </c>
      <c r="B156" s="5">
        <v>3950</v>
      </c>
    </row>
    <row r="157" spans="1:7" x14ac:dyDescent="0.35">
      <c r="A157" s="4" t="s">
        <v>206</v>
      </c>
      <c r="B157" s="5">
        <v>1600</v>
      </c>
    </row>
    <row r="158" spans="1:7" x14ac:dyDescent="0.35">
      <c r="A158" s="4" t="s">
        <v>207</v>
      </c>
      <c r="B158" s="5">
        <v>9500</v>
      </c>
    </row>
    <row r="159" spans="1:7" x14ac:dyDescent="0.35">
      <c r="A159" s="4" t="s">
        <v>208</v>
      </c>
      <c r="B159" s="5">
        <v>1500</v>
      </c>
    </row>
    <row r="160" spans="1:7" x14ac:dyDescent="0.35">
      <c r="A160" s="4" t="s">
        <v>55</v>
      </c>
      <c r="B160" s="5">
        <v>24000</v>
      </c>
    </row>
    <row r="161" spans="1:2" x14ac:dyDescent="0.35">
      <c r="A161" s="4" t="s">
        <v>209</v>
      </c>
      <c r="B161" s="5">
        <v>7600</v>
      </c>
    </row>
    <row r="162" spans="1:2" x14ac:dyDescent="0.35">
      <c r="A162" s="4" t="s">
        <v>210</v>
      </c>
      <c r="B162" s="5">
        <v>14400</v>
      </c>
    </row>
    <row r="163" spans="1:2" x14ac:dyDescent="0.35">
      <c r="A163" s="4" t="s">
        <v>211</v>
      </c>
      <c r="B163" s="5">
        <v>2100</v>
      </c>
    </row>
    <row r="164" spans="1:2" x14ac:dyDescent="0.35">
      <c r="A164" s="4" t="s">
        <v>77</v>
      </c>
      <c r="B164" s="5">
        <v>200</v>
      </c>
    </row>
    <row r="165" spans="1:2" x14ac:dyDescent="0.35">
      <c r="A165" s="4" t="s">
        <v>87</v>
      </c>
      <c r="B165" s="5">
        <v>425</v>
      </c>
    </row>
    <row r="166" spans="1:2" x14ac:dyDescent="0.35">
      <c r="A166" s="4" t="s">
        <v>212</v>
      </c>
      <c r="B166" s="5">
        <v>7700</v>
      </c>
    </row>
    <row r="167" spans="1:2" x14ac:dyDescent="0.35">
      <c r="A167" s="4" t="s">
        <v>213</v>
      </c>
      <c r="B167" s="5">
        <v>8700</v>
      </c>
    </row>
    <row r="168" spans="1:2" x14ac:dyDescent="0.35">
      <c r="A168" s="4" t="s">
        <v>214</v>
      </c>
      <c r="B168" s="5">
        <v>6900</v>
      </c>
    </row>
    <row r="169" spans="1:2" x14ac:dyDescent="0.35">
      <c r="A169" s="4" t="s">
        <v>215</v>
      </c>
      <c r="B169" s="5">
        <v>1050</v>
      </c>
    </row>
    <row r="170" spans="1:2" x14ac:dyDescent="0.35">
      <c r="A170" s="4" t="s">
        <v>216</v>
      </c>
      <c r="B170" s="5">
        <v>800</v>
      </c>
    </row>
    <row r="171" spans="1:2" x14ac:dyDescent="0.35">
      <c r="A171" s="4" t="s">
        <v>217</v>
      </c>
      <c r="B171" s="5">
        <v>900</v>
      </c>
    </row>
    <row r="172" spans="1:2" x14ac:dyDescent="0.35">
      <c r="A172" s="4" t="s">
        <v>79</v>
      </c>
      <c r="B172" s="5">
        <v>1000</v>
      </c>
    </row>
    <row r="173" spans="1:2" x14ac:dyDescent="0.35">
      <c r="A173" s="4" t="s">
        <v>218</v>
      </c>
      <c r="B173" s="5">
        <v>2800</v>
      </c>
    </row>
    <row r="174" spans="1:2" x14ac:dyDescent="0.35">
      <c r="A174" s="4" t="s">
        <v>219</v>
      </c>
      <c r="B174" s="5">
        <v>4200</v>
      </c>
    </row>
    <row r="175" spans="1:2" x14ac:dyDescent="0.35">
      <c r="A175" s="4" t="s">
        <v>83</v>
      </c>
      <c r="B175" s="5">
        <v>300</v>
      </c>
    </row>
    <row r="176" spans="1:2" x14ac:dyDescent="0.35">
      <c r="A176" s="4" t="s">
        <v>72</v>
      </c>
      <c r="B176" s="5">
        <v>1300</v>
      </c>
    </row>
    <row r="177" spans="1:2" x14ac:dyDescent="0.35">
      <c r="A177" s="4" t="s">
        <v>220</v>
      </c>
      <c r="B177" s="5">
        <v>8400</v>
      </c>
    </row>
    <row r="178" spans="1:2" x14ac:dyDescent="0.35">
      <c r="A178" s="4" t="s">
        <v>221</v>
      </c>
      <c r="B178" s="5">
        <v>1500</v>
      </c>
    </row>
    <row r="179" spans="1:2" x14ac:dyDescent="0.35">
      <c r="A179" s="4" t="s">
        <v>222</v>
      </c>
      <c r="B179" s="5">
        <v>1000</v>
      </c>
    </row>
    <row r="180" spans="1:2" x14ac:dyDescent="0.35">
      <c r="A180" s="4" t="s">
        <v>223</v>
      </c>
      <c r="B180" s="5">
        <v>1300</v>
      </c>
    </row>
    <row r="181" spans="1:2" x14ac:dyDescent="0.35">
      <c r="A181" s="4" t="s">
        <v>183</v>
      </c>
      <c r="B181" s="5">
        <v>0</v>
      </c>
    </row>
    <row r="182" spans="1:2" x14ac:dyDescent="0.35">
      <c r="A182" s="4" t="s">
        <v>224</v>
      </c>
      <c r="B182" s="5">
        <v>26100</v>
      </c>
    </row>
    <row r="183" spans="1:2" x14ac:dyDescent="0.35">
      <c r="A183" s="4" t="s">
        <v>54</v>
      </c>
      <c r="B183" s="5">
        <v>28500</v>
      </c>
    </row>
    <row r="184" spans="1:2" x14ac:dyDescent="0.35">
      <c r="A184" s="4" t="s">
        <v>225</v>
      </c>
      <c r="B184" s="5">
        <v>700</v>
      </c>
    </row>
    <row r="185" spans="1:2" x14ac:dyDescent="0.35">
      <c r="A185" s="4" t="s">
        <v>226</v>
      </c>
      <c r="B185" s="5">
        <v>5500</v>
      </c>
    </row>
    <row r="186" spans="1:2" x14ac:dyDescent="0.35">
      <c r="A186" s="4" t="s">
        <v>227</v>
      </c>
      <c r="B186" s="5">
        <v>10150</v>
      </c>
    </row>
    <row r="187" spans="1:2" x14ac:dyDescent="0.35">
      <c r="A187" s="4" t="s">
        <v>228</v>
      </c>
      <c r="B187" s="5">
        <v>13480</v>
      </c>
    </row>
    <row r="188" spans="1:2" x14ac:dyDescent="0.35">
      <c r="A188" s="4" t="s">
        <v>229</v>
      </c>
      <c r="B188" s="5">
        <v>1150</v>
      </c>
    </row>
    <row r="189" spans="1:2" x14ac:dyDescent="0.35">
      <c r="A189" s="4" t="s">
        <v>230</v>
      </c>
      <c r="B189" s="5">
        <v>1470</v>
      </c>
    </row>
    <row r="190" spans="1:2" x14ac:dyDescent="0.35">
      <c r="A190" s="4" t="s">
        <v>85</v>
      </c>
      <c r="B190" s="5">
        <v>1300</v>
      </c>
    </row>
    <row r="191" spans="1:2" x14ac:dyDescent="0.35">
      <c r="A191" s="4" t="s">
        <v>63</v>
      </c>
      <c r="B191" s="5">
        <v>26350</v>
      </c>
    </row>
    <row r="192" spans="1:2" x14ac:dyDescent="0.35">
      <c r="A192" s="4" t="s">
        <v>231</v>
      </c>
      <c r="B192" s="5">
        <v>350</v>
      </c>
    </row>
    <row r="193" spans="1:2" x14ac:dyDescent="0.35">
      <c r="A193" s="4" t="s">
        <v>58</v>
      </c>
      <c r="B193" s="5">
        <v>21600</v>
      </c>
    </row>
    <row r="194" spans="1:2" x14ac:dyDescent="0.35">
      <c r="A194" s="4" t="s">
        <v>232</v>
      </c>
      <c r="B194" s="5">
        <v>8550</v>
      </c>
    </row>
    <row r="195" spans="1:2" x14ac:dyDescent="0.35">
      <c r="A195" s="4" t="s">
        <v>204</v>
      </c>
      <c r="B195" s="5"/>
    </row>
    <row r="196" spans="1:2" x14ac:dyDescent="0.35">
      <c r="A196" s="4" t="s">
        <v>185</v>
      </c>
      <c r="B196" s="2">
        <v>258325</v>
      </c>
    </row>
  </sheetData>
  <pageMargins left="0.7" right="0.7" top="0.75" bottom="0.75" header="0.3" footer="0.3"/>
  <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0F3B429260FE438DD7B392B405E0BA" ma:contentTypeVersion="4" ma:contentTypeDescription="Create a new document." ma:contentTypeScope="" ma:versionID="029e8fbd0f3c8f18ff9dfed3bf9861c6">
  <xsd:schema xmlns:xsd="http://www.w3.org/2001/XMLSchema" xmlns:xs="http://www.w3.org/2001/XMLSchema" xmlns:p="http://schemas.microsoft.com/office/2006/metadata/properties" xmlns:ns3="f7383457-18a4-4860-9640-89c4e610dafe" targetNamespace="http://schemas.microsoft.com/office/2006/metadata/properties" ma:root="true" ma:fieldsID="1b6424bd1611f73c29e482294e26be75" ns3:_="">
    <xsd:import namespace="f7383457-18a4-4860-9640-89c4e610dafe"/>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7383457-18a4-4860-9640-89c4e610dafe"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8434BF9-9D96-4529-8977-7031E879DDC7}">
  <ds:schemaRefs>
    <ds:schemaRef ds:uri="http://purl.org/dc/elements/1.1/"/>
    <ds:schemaRef ds:uri="http://purl.org/dc/terms/"/>
    <ds:schemaRef ds:uri="f7383457-18a4-4860-9640-89c4e610dafe"/>
    <ds:schemaRef ds:uri="http://schemas.microsoft.com/office/2006/documentManagement/types"/>
    <ds:schemaRef ds:uri="http://purl.org/dc/dcmitype/"/>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358DE52C-E301-4E49-9241-364FE36A0B8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7383457-18a4-4860-9640-89c4e610daf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CB4EE01-E85E-4D02-BD5A-4CA19DDA1A0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Travel details dataset (post an</vt:lpstr>
      <vt:lpstr>Dashboard</vt:lpstr>
      <vt:lpstr>Working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Shazlan Amirul Bin Hasan</cp:lastModifiedBy>
  <dcterms:created xsi:type="dcterms:W3CDTF">2025-12-15T18:55:51Z</dcterms:created>
  <dcterms:modified xsi:type="dcterms:W3CDTF">2026-02-16T05:42:18Z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0x010100970F3B429260FE438DD7B392B405E0BA</vt:lpwstr>
  </property>
</Properties>
</file>